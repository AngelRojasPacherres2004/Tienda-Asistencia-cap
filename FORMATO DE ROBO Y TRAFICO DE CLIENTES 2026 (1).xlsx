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7FD35BE-EE7A-476D-BAD9-9C49F72B7420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INCIDENCIAS" sheetId="1" r:id="rId1"/>
    <sheet name="tabla" sheetId="3" r:id="rId2"/>
    <sheet name="Lista" sheetId="4" r:id="rId3"/>
    <sheet name="TRÁFICO DE CLIENTES" sheetId="5" r:id="rId4"/>
    <sheet name="ROBOS - FRUSTADOS" sheetId="7" r:id="rId5"/>
    <sheet name="ACTA DETENCIÓ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6" i="1" l="1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D72" i="1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09" i="5"/>
  <c r="I418" i="5"/>
  <c r="I417" i="5"/>
  <c r="I416" i="5"/>
  <c r="I415" i="5"/>
  <c r="I414" i="5"/>
  <c r="I413" i="5"/>
  <c r="I412" i="5"/>
  <c r="I411" i="5"/>
  <c r="I410" i="5"/>
  <c r="I408" i="5"/>
  <c r="I407" i="5"/>
  <c r="I406" i="5"/>
  <c r="I405" i="5"/>
  <c r="I404" i="5"/>
  <c r="I403" i="5"/>
  <c r="I402" i="5"/>
  <c r="I401" i="5"/>
  <c r="I394" i="5"/>
  <c r="I395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0" i="5"/>
  <c r="I369" i="5"/>
  <c r="I372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D47" i="1"/>
  <c r="D48" i="1"/>
  <c r="D49" i="1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16" i="5"/>
  <c r="I314" i="5"/>
  <c r="I310" i="5"/>
  <c r="I311" i="5"/>
  <c r="I312" i="5"/>
  <c r="I313" i="5"/>
  <c r="I315" i="5"/>
  <c r="I317" i="5"/>
  <c r="I318" i="5"/>
  <c r="I319" i="5"/>
  <c r="I320" i="5"/>
  <c r="I321" i="5"/>
  <c r="I322" i="5"/>
  <c r="I323" i="5"/>
  <c r="I324" i="5"/>
  <c r="I325" i="5"/>
  <c r="I326" i="5"/>
  <c r="I309" i="5"/>
  <c r="I304" i="5"/>
  <c r="I281" i="5"/>
  <c r="I258" i="5"/>
  <c r="I235" i="5"/>
  <c r="D22" i="1"/>
  <c r="D18" i="1"/>
  <c r="I212" i="5"/>
  <c r="F37" i="6"/>
  <c r="I189" i="5"/>
  <c r="I166" i="5"/>
  <c r="I142" i="5"/>
  <c r="I118" i="5"/>
  <c r="I94" i="5"/>
  <c r="I70" i="5"/>
  <c r="I46" i="5"/>
  <c r="I23" i="5"/>
  <c r="J245" i="1"/>
  <c r="D245" i="1"/>
  <c r="J244" i="1"/>
  <c r="D244" i="1"/>
  <c r="J243" i="1"/>
  <c r="D243" i="1"/>
  <c r="J242" i="1"/>
  <c r="D242" i="1"/>
  <c r="J241" i="1"/>
  <c r="D241" i="1"/>
  <c r="J240" i="1"/>
  <c r="D240" i="1"/>
  <c r="J239" i="1"/>
  <c r="D239" i="1"/>
  <c r="J238" i="1"/>
  <c r="D238" i="1"/>
  <c r="J237" i="1"/>
  <c r="D237" i="1"/>
  <c r="J236" i="1"/>
  <c r="D236" i="1"/>
  <c r="J235" i="1"/>
  <c r="D235" i="1"/>
  <c r="J234" i="1"/>
  <c r="D234" i="1"/>
  <c r="J233" i="1"/>
  <c r="D233" i="1"/>
  <c r="J232" i="1"/>
  <c r="D232" i="1"/>
  <c r="J231" i="1"/>
  <c r="D231" i="1"/>
  <c r="J230" i="1"/>
  <c r="D230" i="1"/>
  <c r="J229" i="1"/>
  <c r="D229" i="1"/>
  <c r="J228" i="1"/>
  <c r="D228" i="1"/>
  <c r="J227" i="1"/>
  <c r="D227" i="1"/>
  <c r="J226" i="1"/>
  <c r="D226" i="1"/>
  <c r="J225" i="1"/>
  <c r="D225" i="1"/>
  <c r="J224" i="1"/>
  <c r="D224" i="1"/>
  <c r="J223" i="1"/>
  <c r="D223" i="1"/>
  <c r="J222" i="1"/>
  <c r="D222" i="1"/>
  <c r="J221" i="1"/>
  <c r="D221" i="1"/>
  <c r="J220" i="1"/>
  <c r="D220" i="1"/>
  <c r="J219" i="1"/>
  <c r="D219" i="1"/>
  <c r="J218" i="1"/>
  <c r="D218" i="1"/>
  <c r="J217" i="1"/>
  <c r="D217" i="1"/>
  <c r="J216" i="1"/>
  <c r="D216" i="1"/>
  <c r="J215" i="1"/>
  <c r="D215" i="1"/>
  <c r="J214" i="1"/>
  <c r="D214" i="1"/>
  <c r="J213" i="1"/>
  <c r="D213" i="1"/>
  <c r="J212" i="1"/>
  <c r="D212" i="1"/>
  <c r="J211" i="1"/>
  <c r="D211" i="1"/>
  <c r="J210" i="1"/>
  <c r="D210" i="1"/>
  <c r="J209" i="1"/>
  <c r="D209" i="1"/>
  <c r="J208" i="1"/>
  <c r="D208" i="1"/>
  <c r="J207" i="1"/>
  <c r="D207" i="1"/>
  <c r="J206" i="1"/>
  <c r="D206" i="1"/>
  <c r="J205" i="1"/>
  <c r="D205" i="1"/>
  <c r="J204" i="1"/>
  <c r="D204" i="1"/>
  <c r="J203" i="1"/>
  <c r="D203" i="1"/>
  <c r="J202" i="1"/>
  <c r="D202" i="1"/>
  <c r="J201" i="1"/>
  <c r="D201" i="1"/>
  <c r="J200" i="1"/>
  <c r="D200" i="1"/>
  <c r="J199" i="1"/>
  <c r="D199" i="1"/>
  <c r="J198" i="1"/>
  <c r="D198" i="1"/>
  <c r="J197" i="1"/>
  <c r="D197" i="1"/>
  <c r="J196" i="1"/>
  <c r="D196" i="1"/>
  <c r="J195" i="1"/>
  <c r="D195" i="1"/>
  <c r="J194" i="1"/>
  <c r="D194" i="1"/>
  <c r="J193" i="1"/>
  <c r="D193" i="1"/>
  <c r="J192" i="1"/>
  <c r="D192" i="1"/>
  <c r="J191" i="1"/>
  <c r="D191" i="1"/>
  <c r="J190" i="1"/>
  <c r="D190" i="1"/>
  <c r="J189" i="1"/>
  <c r="D189" i="1"/>
  <c r="J188" i="1"/>
  <c r="D188" i="1"/>
  <c r="J187" i="1"/>
  <c r="D187" i="1"/>
  <c r="J186" i="1"/>
  <c r="D186" i="1"/>
  <c r="J185" i="1"/>
  <c r="D185" i="1"/>
  <c r="J184" i="1"/>
  <c r="D184" i="1"/>
  <c r="J183" i="1"/>
  <c r="D183" i="1"/>
  <c r="J182" i="1"/>
  <c r="D182" i="1"/>
  <c r="J181" i="1"/>
  <c r="D181" i="1"/>
  <c r="J180" i="1"/>
  <c r="D180" i="1"/>
  <c r="J179" i="1"/>
  <c r="D179" i="1"/>
  <c r="J178" i="1"/>
  <c r="D178" i="1"/>
  <c r="J177" i="1"/>
  <c r="D177" i="1"/>
  <c r="J176" i="1"/>
  <c r="D176" i="1"/>
  <c r="J175" i="1"/>
  <c r="D175" i="1"/>
  <c r="J174" i="1"/>
  <c r="D174" i="1"/>
  <c r="J173" i="1"/>
  <c r="D173" i="1"/>
  <c r="J172" i="1"/>
  <c r="D172" i="1"/>
  <c r="J171" i="1"/>
  <c r="D171" i="1"/>
  <c r="J170" i="1"/>
  <c r="D170" i="1"/>
  <c r="J169" i="1"/>
  <c r="D169" i="1"/>
  <c r="J168" i="1"/>
  <c r="D168" i="1"/>
  <c r="J167" i="1"/>
  <c r="D167" i="1"/>
  <c r="J166" i="1"/>
  <c r="D166" i="1"/>
  <c r="J165" i="1"/>
  <c r="D165" i="1"/>
  <c r="J164" i="1"/>
  <c r="D164" i="1"/>
  <c r="J163" i="1"/>
  <c r="D163" i="1"/>
  <c r="J162" i="1"/>
  <c r="D162" i="1"/>
  <c r="J161" i="1"/>
  <c r="D161" i="1"/>
  <c r="J160" i="1"/>
  <c r="D160" i="1"/>
  <c r="J159" i="1"/>
  <c r="D159" i="1"/>
  <c r="J158" i="1"/>
  <c r="D158" i="1"/>
  <c r="J157" i="1"/>
  <c r="D157" i="1"/>
  <c r="J156" i="1"/>
  <c r="D156" i="1"/>
  <c r="J155" i="1"/>
  <c r="D155" i="1"/>
  <c r="J154" i="1"/>
  <c r="D154" i="1"/>
  <c r="J153" i="1"/>
  <c r="D153" i="1"/>
  <c r="J152" i="1"/>
  <c r="D152" i="1"/>
  <c r="J151" i="1"/>
  <c r="D151" i="1"/>
  <c r="J150" i="1"/>
  <c r="D150" i="1"/>
  <c r="J149" i="1"/>
  <c r="D149" i="1"/>
  <c r="J148" i="1"/>
  <c r="D148" i="1"/>
  <c r="J147" i="1"/>
  <c r="D147" i="1"/>
  <c r="J146" i="1"/>
  <c r="D146" i="1"/>
  <c r="J145" i="1"/>
  <c r="D145" i="1"/>
  <c r="J144" i="1"/>
  <c r="D144" i="1"/>
  <c r="J143" i="1"/>
  <c r="D143" i="1"/>
  <c r="J142" i="1"/>
  <c r="D142" i="1"/>
  <c r="J141" i="1"/>
  <c r="D141" i="1"/>
  <c r="J140" i="1"/>
  <c r="D140" i="1"/>
  <c r="J139" i="1"/>
  <c r="D139" i="1"/>
  <c r="J138" i="1"/>
  <c r="D138" i="1"/>
  <c r="J137" i="1"/>
  <c r="D137" i="1"/>
  <c r="J136" i="1"/>
  <c r="D136" i="1"/>
  <c r="J135" i="1"/>
  <c r="D135" i="1"/>
  <c r="J134" i="1"/>
  <c r="D134" i="1"/>
  <c r="J133" i="1"/>
  <c r="D133" i="1"/>
  <c r="J132" i="1"/>
  <c r="D132" i="1"/>
  <c r="J131" i="1"/>
  <c r="D131" i="1"/>
  <c r="J130" i="1"/>
  <c r="D130" i="1"/>
  <c r="J129" i="1"/>
  <c r="D129" i="1"/>
  <c r="J128" i="1"/>
  <c r="D128" i="1"/>
  <c r="J127" i="1"/>
  <c r="D127" i="1"/>
  <c r="J126" i="1"/>
  <c r="D126" i="1"/>
  <c r="J125" i="1"/>
  <c r="D125" i="1"/>
  <c r="J124" i="1"/>
  <c r="D124" i="1"/>
  <c r="J123" i="1"/>
  <c r="D123" i="1"/>
  <c r="J122" i="1"/>
  <c r="D122" i="1"/>
  <c r="J121" i="1"/>
  <c r="D121" i="1"/>
  <c r="J120" i="1"/>
  <c r="D120" i="1"/>
  <c r="J119" i="1"/>
  <c r="D119" i="1"/>
  <c r="J118" i="1"/>
  <c r="D118" i="1"/>
  <c r="J117" i="1"/>
  <c r="D117" i="1"/>
  <c r="J116" i="1"/>
  <c r="D116" i="1"/>
  <c r="J115" i="1"/>
  <c r="D115" i="1"/>
  <c r="J114" i="1"/>
  <c r="D114" i="1"/>
  <c r="J113" i="1"/>
  <c r="D113" i="1"/>
  <c r="J112" i="1"/>
  <c r="D112" i="1"/>
  <c r="J111" i="1"/>
  <c r="D111" i="1"/>
  <c r="J110" i="1"/>
  <c r="D110" i="1"/>
  <c r="J109" i="1"/>
  <c r="D109" i="1"/>
  <c r="J108" i="1"/>
  <c r="D108" i="1"/>
  <c r="J107" i="1"/>
  <c r="D107" i="1"/>
  <c r="J106" i="1"/>
  <c r="D106" i="1"/>
  <c r="J105" i="1"/>
  <c r="D105" i="1"/>
  <c r="J104" i="1"/>
  <c r="D104" i="1"/>
  <c r="J103" i="1"/>
  <c r="D103" i="1"/>
  <c r="J102" i="1"/>
  <c r="D102" i="1"/>
  <c r="J101" i="1"/>
  <c r="D101" i="1"/>
  <c r="J100" i="1"/>
  <c r="D100" i="1"/>
  <c r="J99" i="1"/>
  <c r="D99" i="1"/>
  <c r="J98" i="1"/>
  <c r="D98" i="1"/>
  <c r="J97" i="1"/>
  <c r="D97" i="1"/>
  <c r="J96" i="1"/>
  <c r="D96" i="1"/>
  <c r="J95" i="1"/>
  <c r="D95" i="1"/>
  <c r="J94" i="1"/>
  <c r="D94" i="1"/>
  <c r="J93" i="1"/>
  <c r="D93" i="1"/>
  <c r="J92" i="1"/>
  <c r="D92" i="1"/>
  <c r="J91" i="1"/>
  <c r="D91" i="1"/>
  <c r="J90" i="1"/>
  <c r="D90" i="1"/>
  <c r="J89" i="1"/>
  <c r="D89" i="1"/>
  <c r="J88" i="1"/>
  <c r="D88" i="1"/>
  <c r="J87" i="1"/>
  <c r="D87" i="1"/>
  <c r="J86" i="1"/>
  <c r="D86" i="1"/>
  <c r="J85" i="1"/>
  <c r="D85" i="1"/>
  <c r="J84" i="1"/>
  <c r="D84" i="1"/>
  <c r="J83" i="1"/>
  <c r="D83" i="1"/>
  <c r="J82" i="1"/>
  <c r="D82" i="1"/>
  <c r="J81" i="1"/>
  <c r="D81" i="1"/>
  <c r="J80" i="1"/>
  <c r="D80" i="1"/>
  <c r="J79" i="1"/>
  <c r="D79" i="1"/>
  <c r="J78" i="1"/>
  <c r="D78" i="1"/>
  <c r="J77" i="1"/>
  <c r="D77" i="1"/>
  <c r="J76" i="1"/>
  <c r="J75" i="1"/>
  <c r="D75" i="1"/>
  <c r="J74" i="1"/>
  <c r="D74" i="1"/>
  <c r="J73" i="1"/>
  <c r="D73" i="1"/>
  <c r="J72" i="1"/>
  <c r="J71" i="1"/>
  <c r="D71" i="1"/>
  <c r="J70" i="1"/>
  <c r="D70" i="1"/>
  <c r="J69" i="1"/>
  <c r="D69" i="1"/>
  <c r="J68" i="1"/>
  <c r="D68" i="1"/>
  <c r="J67" i="1"/>
  <c r="D67" i="1"/>
  <c r="J66" i="1"/>
  <c r="D66" i="1"/>
  <c r="J65" i="1"/>
  <c r="D65" i="1"/>
  <c r="J64" i="1"/>
  <c r="D64" i="1"/>
  <c r="J63" i="1"/>
  <c r="D63" i="1"/>
  <c r="J62" i="1"/>
  <c r="D62" i="1"/>
  <c r="J61" i="1"/>
  <c r="D61" i="1"/>
  <c r="J60" i="1"/>
  <c r="D60" i="1"/>
  <c r="J59" i="1"/>
  <c r="D59" i="1"/>
  <c r="J58" i="1"/>
  <c r="D58" i="1"/>
  <c r="J57" i="1"/>
  <c r="D57" i="1"/>
  <c r="J56" i="1"/>
  <c r="D56" i="1"/>
  <c r="J55" i="1"/>
  <c r="D55" i="1"/>
  <c r="J54" i="1"/>
  <c r="D54" i="1"/>
  <c r="D53" i="1"/>
  <c r="J52" i="1"/>
  <c r="D52" i="1"/>
  <c r="J51" i="1"/>
  <c r="D51" i="1"/>
  <c r="J50" i="1"/>
  <c r="D50" i="1"/>
  <c r="J46" i="1"/>
  <c r="D46" i="1"/>
  <c r="J45" i="1"/>
  <c r="D45" i="1"/>
  <c r="J43" i="1"/>
  <c r="D43" i="1"/>
  <c r="J42" i="1"/>
  <c r="D42" i="1"/>
  <c r="J41" i="1"/>
  <c r="D41" i="1"/>
  <c r="J40" i="1"/>
  <c r="D40" i="1"/>
  <c r="J39" i="1"/>
  <c r="D39" i="1"/>
  <c r="J38" i="1"/>
  <c r="D38" i="1"/>
  <c r="J37" i="1"/>
  <c r="D37" i="1"/>
  <c r="J36" i="1"/>
  <c r="D36" i="1"/>
  <c r="J35" i="1"/>
  <c r="D35" i="1"/>
  <c r="J34" i="1"/>
  <c r="D34" i="1"/>
  <c r="J33" i="1"/>
  <c r="D33" i="1"/>
  <c r="J32" i="1"/>
  <c r="D32" i="1"/>
  <c r="J31" i="1"/>
  <c r="D31" i="1"/>
  <c r="J30" i="1"/>
  <c r="D30" i="1"/>
  <c r="J29" i="1"/>
  <c r="D29" i="1"/>
  <c r="J27" i="1"/>
  <c r="D27" i="1"/>
  <c r="J26" i="1"/>
  <c r="D26" i="1"/>
  <c r="J25" i="1"/>
  <c r="D25" i="1"/>
  <c r="J22" i="1"/>
  <c r="J21" i="1"/>
  <c r="D21" i="1"/>
  <c r="J20" i="1"/>
  <c r="D20" i="1"/>
  <c r="J19" i="1"/>
  <c r="D19" i="1"/>
  <c r="D17" i="1"/>
  <c r="J16" i="1"/>
  <c r="D16" i="1"/>
  <c r="J15" i="1"/>
  <c r="D15" i="1"/>
  <c r="J14" i="1"/>
  <c r="D14" i="1"/>
  <c r="J13" i="1"/>
  <c r="D13" i="1"/>
  <c r="J12" i="1"/>
  <c r="D12" i="1"/>
  <c r="J11" i="1"/>
  <c r="D11" i="1"/>
  <c r="J10" i="1"/>
  <c r="D8" i="1"/>
  <c r="D7" i="1"/>
  <c r="D6" i="1"/>
  <c r="J5" i="1"/>
  <c r="D5" i="1"/>
  <c r="I465" i="5" l="1"/>
  <c r="I442" i="5"/>
  <c r="I419" i="5"/>
  <c r="I396" i="5"/>
  <c r="I373" i="5"/>
  <c r="I350" i="5"/>
  <c r="I32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USER</author>
  </authors>
  <commentList>
    <comment ref="O4" authorId="0" shapeId="0" xr:uid="{00000000-0006-0000-0000-000001000000}">
      <text>
        <r>
          <rPr>
            <sz val="11"/>
            <color rgb="FF000000"/>
            <rFont val="Arial"/>
            <family val="2"/>
            <scheme val="minor"/>
          </rPr>
          <t xml:space="preserve">LA SRTA GREYDI ENCARGADA DE TEXTIL SE PERCATA QUE FECHA ANTERIOR YA HABIA SUTRAIDO PRENDAS, EN PRESENCIA DEL PNP SE LE HACE PAGAR 402 NUEVOS SOLES 
</t>
        </r>
      </text>
    </comment>
    <comment ref="O5" authorId="0" shapeId="0" xr:uid="{00000000-0006-0000-0000-000002000000}">
      <text>
        <r>
          <rPr>
            <sz val="11"/>
            <color rgb="FF000000"/>
            <rFont val="Arial"/>
            <family val="2"/>
            <scheme val="minor"/>
          </rPr>
          <t xml:space="preserve">LA SRTA GREYDI ENCARGADA DE TEXTIL SE PERCATA QUE FECHA ANTERIOR YA HABIA SUTRAIDO PRENDAS, EN PRESENCIA DEL PNP SE LE HACE PAGAR 402 NUEVOS SOLES 
</t>
        </r>
      </text>
    </comment>
    <comment ref="O6" authorId="0" shapeId="0" xr:uid="{00000000-0006-0000-0000-000003000000}">
      <text>
        <r>
          <rPr>
            <sz val="11"/>
            <color rgb="FF000000"/>
            <rFont val="Arial"/>
            <family val="2"/>
            <scheme val="minor"/>
          </rPr>
          <t xml:space="preserve">LA SRTA BREYDI SE PERCATA QUE 3 JOVENES ESTAN EN ACTITUD SOSPECHOSA 
Y UN JOVEN GUARDA LA POLERA Y EN PRESENCIA DEL PNP SE LE HACE PAGAR </t>
        </r>
      </text>
    </comment>
    <comment ref="O7" authorId="0" shapeId="0" xr:uid="{00000000-0006-0000-0000-000004000000}">
      <text>
        <r>
          <rPr>
            <sz val="11"/>
            <color rgb="FF000000"/>
            <rFont val="Arial"/>
            <family val="2"/>
            <scheme val="minor"/>
          </rPr>
          <t xml:space="preserve">SE VISUALIZA POR CAMARAS UNA PAREJA QUE TIENE SACA PIOCHAS Y SE LLEVAN 2 PARES DE ZAPATILLAS 
</t>
        </r>
      </text>
    </comment>
    <comment ref="O8" authorId="0" shapeId="0" xr:uid="{00000000-0006-0000-0000-000005000000}">
      <text>
        <r>
          <rPr>
            <sz val="11"/>
            <color rgb="FF000000"/>
            <rFont val="Arial"/>
            <family val="2"/>
            <scheme val="minor"/>
          </rPr>
          <t xml:space="preserve">SE VISUALISA POR CAMARA QUE UN SUJETO SE LLEVA UN PAR DE ZAPATILLAS 
</t>
        </r>
      </text>
    </comment>
    <comment ref="O9" authorId="0" shapeId="0" xr:uid="{00000000-0006-0000-0000-000006000000}">
      <text>
        <r>
          <rPr>
            <sz val="11"/>
            <color rgb="FF000000"/>
            <rFont val="Arial"/>
            <family val="2"/>
            <scheme val="minor"/>
          </rPr>
          <t xml:space="preserve">TRABAJO EN CONJUNTO PERSONAL DE AREA Y SEGURIDAD SE PUDO FRUSTAR EL ROBO 
</t>
        </r>
      </text>
    </comment>
    <comment ref="O10" authorId="0" shapeId="0" xr:uid="{00000000-0006-0000-0000-000007000000}">
      <text>
        <r>
          <rPr>
            <sz val="11"/>
            <color rgb="FF000000"/>
            <rFont val="Arial"/>
            <family val="2"/>
            <scheme val="minor"/>
          </rPr>
          <t xml:space="preserve">LOS COLABORADOS SE PRECATAN Y SEGURIDAD REVISA CAMARAS Y EN LA GRAVACION SE DA CUENTA QUE SEESTA LLEVANDO UN PAR DE ZAPATILLAS 
</t>
        </r>
      </text>
    </comment>
    <comment ref="O11" authorId="0" shapeId="0" xr:uid="{00000000-0006-0000-0000-000008000000}">
      <text>
        <r>
          <rPr>
            <sz val="11"/>
            <color rgb="FF000000"/>
            <rFont val="Arial"/>
            <family val="2"/>
            <scheme val="minor"/>
          </rPr>
          <t xml:space="preserve">GRACIAS A MOISES QUIEN ESTABA CUBRIENDO CAJA SE DA CUENTA QUE UNA PERSONA MASCULITO A CAMBIADO EL PRECIO DE LA ETIQUETA. PUSO EL PRECIO DE 30.00 NUEVOS SOLES 
</t>
        </r>
      </text>
    </comment>
    <comment ref="O12" authorId="0" shapeId="0" xr:uid="{00000000-0006-0000-0000-000009000000}">
      <text>
        <r>
          <rPr>
            <sz val="11"/>
            <color rgb="FF000000"/>
            <rFont val="Arial"/>
            <family val="2"/>
            <scheme val="minor"/>
          </rPr>
          <t xml:space="preserve">EL SEGURIDAD INDICA QUE SE DIO CUENTA LA CAJERA ( RARO POR QUE NADIE INGRESA A ESE LADO ) SEGUIRDAD MARCOS TENORIO INFORMA LO OCURRIDO +
</t>
        </r>
      </text>
    </comment>
    <comment ref="O13" authorId="0" shapeId="0" xr:uid="{00000000-0006-0000-0000-00000A000000}">
      <text>
        <r>
          <rPr>
            <sz val="11"/>
            <color rgb="FF000000"/>
            <rFont val="Arial"/>
            <family val="2"/>
            <scheme val="minor"/>
          </rPr>
          <t xml:space="preserve">EL SEG ONASIS SE DA CUENTA QUE DENTRO DE SU PARTE INTIMAS LLEVA UN VULTO Y LO INTERVIENE Y NO TENIA PARA PAGAR SE RETIRA DE LA TIENDA 
</t>
        </r>
      </text>
    </comment>
    <comment ref="M14" authorId="0" shapeId="0" xr:uid="{00000000-0006-0000-0000-00000B000000}">
      <text>
        <r>
          <rPr>
            <sz val="11"/>
            <color rgb="FF000000"/>
            <rFont val="Arial"/>
            <family val="2"/>
            <scheme val="minor"/>
          </rPr>
          <t xml:space="preserve">PERSONA EN ESTADO DE EBRIEDAD 
</t>
        </r>
      </text>
    </comment>
    <comment ref="O14" authorId="0" shapeId="0" xr:uid="{00000000-0006-0000-0000-00000C000000}">
      <text>
        <r>
          <rPr>
            <sz val="11"/>
            <color rgb="FF000000"/>
            <rFont val="Arial"/>
            <family val="2"/>
            <scheme val="minor"/>
          </rPr>
          <t xml:space="preserve">EL SEGURIDAD ONASIS SE DA CUENTA QUE UNA PERSONA EN ESTADO DE EBRIEDAD  INTENTA SALIR PUESTOD LA ZAPATILLA ZAPATILLA </t>
        </r>
      </text>
    </comment>
    <comment ref="O15" authorId="0" shapeId="0" xr:uid="{00000000-0006-0000-0000-00000D000000}">
      <text>
        <r>
          <rPr>
            <sz val="11"/>
            <color rgb="FF000000"/>
            <rFont val="Arial"/>
            <family val="2"/>
            <scheme val="minor"/>
          </rPr>
          <t xml:space="preserve">LA ADM DAYETZA SE PERCATA Y SE LE HACE UN SEGUIMIENTO POR CAMARAS Y EN EL PROBADOR PUSO UN BOLO DENTRRO DE SU CASACA 
SE LE HIZO PAGAR LA PRENDA
</t>
        </r>
      </text>
    </comment>
    <comment ref="M16" authorId="0" shapeId="0" xr:uid="{00000000-0006-0000-0000-00000E000000}">
      <text>
        <r>
          <rPr>
            <sz val="11"/>
            <color rgb="FF000000"/>
            <rFont val="Arial"/>
            <family val="2"/>
            <scheme val="minor"/>
          </rPr>
          <t xml:space="preserve">VARON APROXIMADO 40 AÑOS 
</t>
        </r>
      </text>
    </comment>
    <comment ref="O16" authorId="0" shapeId="0" xr:uid="{00000000-0006-0000-0000-00000F000000}">
      <text>
        <r>
          <rPr>
            <sz val="11"/>
            <color rgb="FF000000"/>
            <rFont val="Arial"/>
            <family val="2"/>
            <scheme val="minor"/>
          </rPr>
          <t xml:space="preserve">SE DA CUENTA POR CAMARAS QUE UNA PAREJA SUSTRAEN UN PAR DE ZAPATILLAS 
</t>
        </r>
      </text>
    </comment>
    <comment ref="O17" authorId="0" shapeId="0" xr:uid="{00000000-0006-0000-0000-000010000000}">
      <text>
        <r>
          <rPr>
            <sz val="11"/>
            <color rgb="FF000000"/>
            <rFont val="Arial"/>
            <family val="2"/>
            <scheme val="minor"/>
          </rPr>
          <t xml:space="preserve">SE DA CUENTA LA VENDEDORA NICOL VASQUEZ DE LA ACTITUD DE LOS 3 JOVENES MENORES DE EDAD QUIEN TENIA HASTA UN ALICATE EN LA PUERTA SE LE INTERVIENE Y EL SEGURIDAD PEDRO HACE QUE LE PAGUE LOS PRODUCTOS 
</t>
        </r>
      </text>
    </comment>
    <comment ref="O18" authorId="1" shapeId="0" xr:uid="{4A016764-A0FD-48C7-A458-96809CAD7D66}">
      <text>
        <r>
          <rPr>
            <b/>
            <sz val="9"/>
            <color indexed="81"/>
            <rFont val="Tahoma"/>
            <family val="2"/>
          </rPr>
          <t xml:space="preserve">SE DIERON CUENTA POR QUE LA CAJA ESTA VACIA 
</t>
        </r>
      </text>
    </comment>
    <comment ref="K19" authorId="0" shapeId="0" xr:uid="{00000000-0006-0000-0000-000011000000}">
      <text>
        <r>
          <rPr>
            <sz val="11"/>
            <color rgb="FF000000"/>
            <rFont val="Arial"/>
            <family val="2"/>
            <scheme val="minor"/>
          </rPr>
          <t xml:space="preserve">LO PAGO
</t>
        </r>
      </text>
    </comment>
    <comment ref="O19" authorId="0" shapeId="0" xr:uid="{00000000-0006-0000-0000-000012000000}">
      <text>
        <r>
          <rPr>
            <sz val="11"/>
            <color rgb="FF000000"/>
            <rFont val="Arial"/>
            <family val="2"/>
            <scheme val="minor"/>
          </rPr>
          <t xml:space="preserve">SE DA CUENTA.
LA SEG DANNY SE DA CUENTA QUE UN SUJETO INTENTA ROBARSE UN CALZADO SE LE INTERVIENE Y SE LE HACE PAGAR EL PRODUCTO
</t>
        </r>
      </text>
    </comment>
    <comment ref="O20" authorId="1" shapeId="0" xr:uid="{D64A506C-432B-4B21-B067-74FB5E77F8D9}">
      <text>
        <r>
          <rPr>
            <b/>
            <sz val="9"/>
            <color indexed="81"/>
            <rFont val="Tahoma"/>
            <family val="2"/>
          </rPr>
          <t xml:space="preserve">SEG YULEYDI SE DA CUENTA LA ACTITUD DE LAS DOS FEMINAS LE HCE SEGUIMIENTO Y YA EN CAJA ANTES DE SER DETECTADAS REGRESAN Y LO DEJANN EN EL AREA DE TEXIL TIRADO EN EL SUELO 
</t>
        </r>
      </text>
    </comment>
    <comment ref="O21" authorId="1" shapeId="0" xr:uid="{A1DCF008-FAB6-4A31-81F4-383D1335D24F}">
      <text>
        <r>
          <rPr>
            <b/>
            <sz val="9"/>
            <color indexed="81"/>
            <rFont val="Tahoma"/>
            <family val="2"/>
          </rPr>
          <t xml:space="preserve">ESE DIA NO HUBO MUCHO PERSONAL Y EN UN DESCUIDO EL DELINCUENTE APROVECHO Y LO SACO EN LA CINTURA SE VISUALIZA POR CAMARAS Y SEVE COMO SE LLEVA EL PROODUCTO 
</t>
        </r>
      </text>
    </comment>
    <comment ref="O22" authorId="1" shapeId="0" xr:uid="{CAD6AA02-F97B-4D95-B894-4C56FBBBBE0D}">
      <text>
        <r>
          <rPr>
            <b/>
            <sz val="9"/>
            <color indexed="81"/>
            <rFont val="Tahoma"/>
            <family val="2"/>
          </rPr>
          <t xml:space="preserve">ARRANCARON LA PIOCHA Y DEJARON LA CAJA BASIA CUANDO EL COLAVORADOR OSCAR DE DA CUENTA ES DONDE INFORMA 
</t>
        </r>
      </text>
    </comment>
    <comment ref="O24" authorId="1" shapeId="0" xr:uid="{965262F9-9A6E-4D7D-B2C5-857641A2CCF4}">
      <text>
        <r>
          <rPr>
            <b/>
            <sz val="9"/>
            <color indexed="81"/>
            <rFont val="Tahoma"/>
            <family val="2"/>
          </rPr>
          <t xml:space="preserve">EN UN TRABAJO EN CONJUNTO CON LOS DE METRO SE CAPTURA A ESTA PERSONA QUE TAMBIEN ESTABA ROBANDO PRODUCTOS DE METRO 
</t>
        </r>
      </text>
    </comment>
    <comment ref="O25" authorId="1" shapeId="0" xr:uid="{A40710B6-F7D4-4953-941E-71792D788C60}">
      <text>
        <r>
          <rPr>
            <b/>
            <sz val="9"/>
            <color indexed="81"/>
            <rFont val="Tahoma"/>
            <family val="2"/>
          </rPr>
          <t>AL PARECER PERSONA CON SUPUESTO RETARDO</t>
        </r>
      </text>
    </comment>
    <comment ref="O26" authorId="1" shapeId="0" xr:uid="{24B6BB15-C6BB-4534-908D-38F1C9C47B30}">
      <text>
        <r>
          <rPr>
            <b/>
            <sz val="9"/>
            <color indexed="81"/>
            <rFont val="Tahoma"/>
            <family val="2"/>
          </rPr>
          <t xml:space="preserve">AL PARECER CON SUPUESTO RETARDO
</t>
        </r>
      </text>
    </comment>
    <comment ref="O27" authorId="1" shapeId="0" xr:uid="{11FE853C-D6E0-48FA-BFCC-097120AE503E}">
      <text>
        <r>
          <rPr>
            <b/>
            <sz val="9"/>
            <color indexed="81"/>
            <rFont val="Tahoma"/>
            <family val="2"/>
          </rPr>
          <t xml:space="preserve">EL SEGURIDAD ONASIS SE DA CUENTA QUE EN SUS PARTES INTIMAS TENIA UN BULTO,LO INTERVIENE Y SE RECUPERA LA PRENDA, Y SE LE HACE HACER SUS RESPECTIVOS EJERCICIOS 
</t>
        </r>
      </text>
    </comment>
    <comment ref="O28" authorId="1" shapeId="0" xr:uid="{17306E63-518D-4F89-980C-9DEFC03A29D9}">
      <text>
        <r>
          <rPr>
            <b/>
            <sz val="9"/>
            <color indexed="81"/>
            <rFont val="Tahoma"/>
            <family val="2"/>
          </rPr>
          <t>EL SEG ONASIS SE PERCATA QUE ESTE TIPO INGRESO CON SANDALIAS Y SALE PUESTO LA ZAPATILA</t>
        </r>
      </text>
    </comment>
    <comment ref="O29" authorId="1" shapeId="0" xr:uid="{50EF59BA-3CD9-4B61-98FA-D805CBE2AA28}">
      <text>
        <r>
          <rPr>
            <b/>
            <sz val="9"/>
            <color indexed="81"/>
            <rFont val="Tahoma"/>
            <family val="2"/>
          </rPr>
          <t xml:space="preserve">EL SEG ANIBAL SE DA CUENTA QUE SE LLEVA LA CASACA 
</t>
        </r>
      </text>
    </comment>
    <comment ref="O30" authorId="1" shapeId="0" xr:uid="{C67BE5FC-C6E7-402A-9F57-869F21CB31F6}">
      <text>
        <r>
          <rPr>
            <b/>
            <sz val="9"/>
            <color indexed="81"/>
            <rFont val="Tahoma"/>
            <family val="2"/>
          </rPr>
          <t xml:space="preserve">SE DA CUENTA EL JOVEN MOISES Y A UNO SE LE INTERVIENE EN PUERTA Y AL OTRO YA LLEGANDO AL BAÑO SE RECUERAN LOS DOS POLOS 
</t>
        </r>
      </text>
    </comment>
    <comment ref="O31" authorId="1" shapeId="0" xr:uid="{D90EB091-D22F-4988-870C-EB87EDFBEBC6}">
      <text>
        <r>
          <rPr>
            <b/>
            <sz val="9"/>
            <color indexed="81"/>
            <rFont val="Tahoma"/>
            <family val="2"/>
          </rPr>
          <t xml:space="preserve">LOS VENDEDORES SE DAN CUENTA QUE LA CAJA ESTA VACIO, RICHARD REBISA CAMARAS Y SE DAN CUENTA QUE SE LLEVARON LAS ZAPATILLAS 
</t>
        </r>
      </text>
    </comment>
    <comment ref="O32" authorId="1" shapeId="0" xr:uid="{6F3F4283-5059-4C16-B302-5812DB55830C}">
      <text>
        <r>
          <rPr>
            <b/>
            <sz val="9"/>
            <color indexed="81"/>
            <rFont val="Tahoma"/>
            <family val="2"/>
          </rPr>
          <t xml:space="preserve">ENCUENTRAN LA CAJA VACIA DAN CUENTA QUE ROBARON LA ZAPATILLA 
</t>
        </r>
      </text>
    </comment>
    <comment ref="O33" authorId="1" shapeId="0" xr:uid="{DA1AFEB6-DDA2-4737-8374-A6316F32141E}">
      <text>
        <r>
          <rPr>
            <b/>
            <sz val="9"/>
            <color indexed="81"/>
            <rFont val="Tahoma"/>
            <family val="2"/>
          </rPr>
          <t xml:space="preserve">EL SEG ONASIS SE PERCATE QUE DENTRO DE SU PANTALON EN LOS GENITALES TENIA UN BULTO Y LE HACE SU REQUISA Y SACA LA CASACA 
</t>
        </r>
      </text>
    </comment>
    <comment ref="O34" authorId="1" shapeId="0" xr:uid="{667494B0-FF54-4F1C-85C5-2E981A4C9CA9}">
      <text>
        <r>
          <rPr>
            <b/>
            <sz val="9"/>
            <color indexed="81"/>
            <rFont val="Tahoma"/>
            <family val="2"/>
          </rPr>
          <t xml:space="preserve">UN NIÑO DE 15 AÑOS DE EDAD APROXIMADO QUE SE ESTABA LLEBANDO EL SHORT POR EL LADO DEL ACSENSOR 
</t>
        </r>
      </text>
    </comment>
    <comment ref="O35" authorId="1" shapeId="0" xr:uid="{6C104B95-94C9-44E5-B528-21B2D2A79159}">
      <text>
        <r>
          <rPr>
            <b/>
            <sz val="9"/>
            <color indexed="81"/>
            <rFont val="Tahoma"/>
            <family val="2"/>
          </rPr>
          <t xml:space="preserve">LA ENCARGADA DE CALZADO CARMELA DA CUENTA QUE LA CAJA ESTA VACIA SE ROBARON LA ZAPATILLA 
</t>
        </r>
      </text>
    </comment>
    <comment ref="O36" authorId="1" shapeId="0" xr:uid="{19695D8E-9693-4A02-8277-0A942BE4E28E}">
      <text>
        <r>
          <rPr>
            <b/>
            <sz val="9"/>
            <color indexed="81"/>
            <rFont val="Tahoma"/>
            <family val="2"/>
          </rPr>
          <t xml:space="preserve">EL DIA VIERNES 22 DE MAYO SE DA CUENTA DE LA PERDIDA </t>
        </r>
      </text>
    </comment>
    <comment ref="O37" authorId="1" shapeId="0" xr:uid="{6F14B1E6-8F2C-4110-BFDE-060A87BA41FA}">
      <text>
        <r>
          <rPr>
            <b/>
            <sz val="9"/>
            <color indexed="81"/>
            <rFont val="Tahoma"/>
            <family val="2"/>
          </rPr>
          <t xml:space="preserve">A LA HORA DE HACER SU RONDA LA SRTA KARINA GONALES SE DA CUENTA QUE ETA VACIA LA CAJA 
</t>
        </r>
      </text>
    </comment>
    <comment ref="O38" authorId="1" shapeId="0" xr:uid="{3FEBFEE2-532F-466A-8613-9541CC5A8D8A}">
      <text>
        <r>
          <rPr>
            <b/>
            <sz val="9"/>
            <color indexed="81"/>
            <rFont val="Tahoma"/>
            <family val="2"/>
          </rPr>
          <t xml:space="preserve">SUENA LA ALARMA Y EL SEGURIDAD LE INDICA QUE LLEVA UN PRODUCTO 
LE CONTESTA EL TENDERO QUE ERAN ATUNES 
LE REVISA Y TENIA ESAS DOS PRENDAS 
</t>
        </r>
      </text>
    </comment>
    <comment ref="O39" authorId="1" shapeId="0" xr:uid="{DD90CE79-D7A0-4F91-824B-DD2EED1A2766}">
      <text>
        <r>
          <rPr>
            <b/>
            <sz val="9"/>
            <color indexed="81"/>
            <rFont val="Tahoma"/>
            <family val="2"/>
          </rPr>
          <t xml:space="preserve">USER:
SUENA LA ALARMA Y EL SEGURIDAD LE INDICA QUE LLEVA UN PRODUCTO 
LE CONTESTA EL TENDERO QUE ERAN ATUNES 
LE REVISA Y TENIA ESAS DOS PRENDAS 
</t>
        </r>
      </text>
    </comment>
    <comment ref="O40" authorId="1" shapeId="0" xr:uid="{733A1B46-B2C3-4CD4-ACE9-EC654AAF5C2F}">
      <text>
        <r>
          <rPr>
            <b/>
            <sz val="9"/>
            <color indexed="81"/>
            <rFont val="Tahoma"/>
            <family val="2"/>
          </rPr>
          <t xml:space="preserve">DEJARON ZAPATILLAS USADAS Y SE LLEVARON EL CALZADO QUE SE INDICA </t>
        </r>
      </text>
    </comment>
    <comment ref="O41" authorId="1" shapeId="0" xr:uid="{D240620D-33CE-446B-9B18-3CF89F712EC0}">
      <text>
        <r>
          <rPr>
            <b/>
            <sz val="9"/>
            <color indexed="81"/>
            <rFont val="Tahoma"/>
            <family val="2"/>
          </rPr>
          <t xml:space="preserve">EN SU INGRESO DE DAVID QUIJANO SE DA CUENTA QUE UN SUJETO SE ESTA LLEVANDO UN PAR DE PANTALONES Y CON APOYO DE UN VENDEDOR A MEDIA CUADRA SE RECUPERO 
</t>
        </r>
      </text>
    </comment>
    <comment ref="O42" authorId="1" shapeId="0" xr:uid="{ADB7DD24-B9EC-491F-BB48-CC886B95BF82}">
      <text>
        <r>
          <rPr>
            <b/>
            <sz val="9"/>
            <color indexed="81"/>
            <rFont val="Tahoma"/>
            <family val="2"/>
          </rPr>
          <t xml:space="preserve">EN SU INGRESO DE DAVID QUIJANO SE DA CUENTA QUE UN SUJETO SE ESTA LLEVANDO UN PAR DE PANTALONES Y CON APOYO DE UN VENDEDOR A MEDIA CUADRA SE RECUPERO 
</t>
        </r>
      </text>
    </comment>
    <comment ref="O43" authorId="1" shapeId="0" xr:uid="{B439ACF4-9CFF-48F5-B9B8-191D17C92427}">
      <text>
        <r>
          <rPr>
            <b/>
            <sz val="9"/>
            <color indexed="81"/>
            <rFont val="Tahoma"/>
            <family val="2"/>
          </rPr>
          <t xml:space="preserve">EL SEGURIDAD DE APOYO SE DA CUENTA Y SE RECUPERA LA ZAPATILLA
</t>
        </r>
      </text>
    </comment>
    <comment ref="O45" authorId="1" shapeId="0" xr:uid="{7A55E354-114F-48F9-8C29-6218ECDA9CEC}">
      <text>
        <r>
          <rPr>
            <b/>
            <sz val="9"/>
            <color indexed="81"/>
            <rFont val="Tahoma"/>
            <family val="2"/>
          </rPr>
          <t xml:space="preserve">EL SEGURIDAD ESTABA EN SU REFRIGERIO, REVISA CAMARA Y DA CUENTA QUE UN VARON SE LLEVA UN PERFUME 
</t>
        </r>
      </text>
    </comment>
    <comment ref="O46" authorId="1" shapeId="0" xr:uid="{65DB29A7-3215-4C9D-8BC2-0A2260F98E9E}">
      <text>
        <r>
          <rPr>
            <b/>
            <sz val="9"/>
            <color indexed="81"/>
            <rFont val="Tahoma"/>
            <family val="2"/>
          </rPr>
          <t xml:space="preserve">EL SEGURIDAD VISUALISA CAMARAS Y DETECTA A DOS FEMINAS QUE ROBARON 4 POLOS
</t>
        </r>
      </text>
    </comment>
    <comment ref="O47" authorId="1" shapeId="0" xr:uid="{06FC9863-2D27-4A08-BFF9-EFE3C850FD84}">
      <text>
        <r>
          <rPr>
            <b/>
            <sz val="9"/>
            <color indexed="81"/>
            <rFont val="Tahoma"/>
            <family val="2"/>
          </rPr>
          <t xml:space="preserve">SE VISUALIZA POR CAMARAS 
</t>
        </r>
      </text>
    </comment>
    <comment ref="O48" authorId="1" shapeId="0" xr:uid="{F5F77C57-A3BD-4F26-BEF7-58F3F2511D6C}">
      <text>
        <r>
          <rPr>
            <b/>
            <sz val="9"/>
            <color indexed="81"/>
            <rFont val="Tahoma"/>
            <family val="2"/>
          </rPr>
          <t xml:space="preserve">SE VISUALIZA POR CAMARAS 
</t>
        </r>
      </text>
    </comment>
    <comment ref="O49" authorId="1" shapeId="0" xr:uid="{AD2E241A-BE3A-4733-9676-5EB1F869E20A}">
      <text>
        <r>
          <rPr>
            <b/>
            <sz val="9"/>
            <color indexed="81"/>
            <rFont val="Tahoma"/>
            <family val="2"/>
          </rPr>
          <t xml:space="preserve">SE VISUALIZA POR CAMARAS 
</t>
        </r>
      </text>
    </comment>
    <comment ref="O50" authorId="1" shapeId="0" xr:uid="{D8AFCEE1-A619-49E5-9C63-06296F9FA1C0}">
      <text>
        <r>
          <rPr>
            <b/>
            <sz val="9"/>
            <color indexed="81"/>
            <rFont val="Tahoma"/>
            <family val="2"/>
          </rPr>
          <t xml:space="preserve">SE DA CUENTA EL SEGURIDAD QUE UN JOVEN DE APROXIMANAMENTE 20 AÑOS  QUIEN ESTA SUSTRAYENDO UNA CASACA, ACOMÁÑADA AL PARECER UNA NIÑA DE  14 AÑOS APROXIMADADO SE RECUPERO LA CASACA 
</t>
        </r>
      </text>
    </comment>
    <comment ref="O51" authorId="1" shapeId="0" xr:uid="{BC997470-D140-4E23-8178-6B92C4F24B45}">
      <text>
        <r>
          <rPr>
            <b/>
            <sz val="9"/>
            <color indexed="81"/>
            <rFont val="Tahoma"/>
            <family val="2"/>
          </rPr>
          <t xml:space="preserve">LA SRTA DE CALZADO SE DA CUENTA POR QUE LA CAJA ESTA VACIA </t>
        </r>
      </text>
    </comment>
    <comment ref="O52" authorId="1" shapeId="0" xr:uid="{BD2FC6F1-104D-47E7-A6D3-94F15C2A6BD8}">
      <text>
        <r>
          <rPr>
            <b/>
            <sz val="9"/>
            <color indexed="81"/>
            <rFont val="Tahoma"/>
            <family val="2"/>
          </rPr>
          <t xml:space="preserve">EL SEGURIDAD YULEYDI VISUALIZA CAMARAS Y SE QUE EFECTIVAMENTE SE LLEVA UN POLO 
</t>
        </r>
      </text>
    </comment>
    <comment ref="O53" authorId="1" shapeId="0" xr:uid="{7FE30565-6A98-4514-B83C-F2E8C816C3C2}">
      <text>
        <r>
          <rPr>
            <b/>
            <sz val="9"/>
            <color indexed="81"/>
            <rFont val="Tahoma"/>
            <family val="2"/>
          </rPr>
          <t xml:space="preserve">EL ENCARGADO DE ELECTRO JESUS SE DA CUENTA QUE NO ESTAN DOS MEMORIAS CARD, CAJA VACIA 
</t>
        </r>
      </text>
    </comment>
    <comment ref="O56" authorId="1" shapeId="0" xr:uid="{333CBE9D-E220-4DD5-A570-9A5E5079C096}">
      <text>
        <r>
          <rPr>
            <b/>
            <sz val="9"/>
            <color indexed="81"/>
            <rFont val="Tahoma"/>
            <family val="2"/>
          </rPr>
          <t xml:space="preserve">EL ROBO FUE DIAS ANTERIORES ALPARECER 08/06/2026
</t>
        </r>
      </text>
    </comment>
    <comment ref="O57" authorId="1" shapeId="0" xr:uid="{25B4C15A-BA82-4CAD-A06A-D9AFB15D4CDF}">
      <text>
        <r>
          <rPr>
            <b/>
            <sz val="9"/>
            <color indexed="81"/>
            <rFont val="Tahoma"/>
            <family val="2"/>
          </rPr>
          <t xml:space="preserve">NO SE SABE QUIEN FUE 
</t>
        </r>
      </text>
    </comment>
    <comment ref="O58" authorId="1" shapeId="0" xr:uid="{894332F9-A3AB-42A0-9336-65E3FA95FCC0}">
      <text>
        <r>
          <rPr>
            <b/>
            <sz val="9"/>
            <color indexed="81"/>
            <rFont val="Tahoma"/>
            <family val="2"/>
          </rPr>
          <t xml:space="preserve">SE ENCONTRO VACIO POR EL ENCARGADO DE CALZADO FRANCISCO ALEGRIA 
</t>
        </r>
      </text>
    </comment>
    <comment ref="O59" authorId="1" shapeId="0" xr:uid="{B5711631-3D39-4BC1-AA48-863FC905029C}">
      <text>
        <r>
          <rPr>
            <b/>
            <sz val="9"/>
            <color indexed="81"/>
            <rFont val="Tahoma"/>
            <family val="2"/>
          </rPr>
          <t xml:space="preserve">SE DIERON CUENTA CUANDO ENCONTRARON UNA SANDALIA EN LA CAJA DE LA ZAPATILLA 
</t>
        </r>
      </text>
    </comment>
    <comment ref="O60" authorId="1" shapeId="0" xr:uid="{43971D75-E5AE-40C9-8D76-F308C7288F18}">
      <text>
        <r>
          <rPr>
            <b/>
            <sz val="9"/>
            <color indexed="81"/>
            <rFont val="Tahoma"/>
            <family val="2"/>
          </rPr>
          <t xml:space="preserve">ENCONTRARON LA CAJA VACIA 
</t>
        </r>
      </text>
    </comment>
    <comment ref="O61" authorId="1" shapeId="0" xr:uid="{CA7B4965-31C3-4526-9A11-BB723E18124A}">
      <text>
        <r>
          <rPr>
            <b/>
            <sz val="9"/>
            <color indexed="81"/>
            <rFont val="Tahoma"/>
            <family val="2"/>
          </rPr>
          <t xml:space="preserve">SE ENCONTRO CAJA VACIA 
</t>
        </r>
      </text>
    </comment>
    <comment ref="O62" authorId="1" shapeId="0" xr:uid="{5EFE4E4C-29FC-49E7-BA71-54D4EC2EA837}">
      <text>
        <r>
          <rPr>
            <b/>
            <sz val="9"/>
            <color indexed="81"/>
            <rFont val="Tahoma"/>
            <family val="2"/>
          </rPr>
          <t xml:space="preserve">SE ENCONTRO CAJA VACIA 
</t>
        </r>
      </text>
    </comment>
    <comment ref="O63" authorId="1" shapeId="0" xr:uid="{DC3CD2D9-4AB7-4FAB-B47D-66DFE77A22B0}">
      <text>
        <r>
          <rPr>
            <b/>
            <sz val="9"/>
            <color indexed="81"/>
            <rFont val="Tahoma"/>
            <family val="2"/>
          </rPr>
          <t xml:space="preserve">SE VE POR CAMARAS QUE ES UN VARON QUE ROBA 
</t>
        </r>
      </text>
    </comment>
    <comment ref="O64" authorId="1" shapeId="0" xr:uid="{0172C3E0-5658-4070-8A58-F53AA3200484}">
      <text>
        <r>
          <rPr>
            <b/>
            <sz val="9"/>
            <color indexed="81"/>
            <rFont val="Tahoma"/>
            <family val="2"/>
          </rPr>
          <t xml:space="preserve">SE VE POR CAMARAS QUE ROBARON 
</t>
        </r>
      </text>
    </comment>
    <comment ref="O65" authorId="1" shapeId="0" xr:uid="{3B44E5FB-C4E1-4192-82C3-6A1F2508984B}">
      <text>
        <r>
          <rPr>
            <b/>
            <sz val="9"/>
            <color indexed="81"/>
            <rFont val="Tahoma"/>
            <family val="2"/>
          </rPr>
          <t xml:space="preserve">LA CAJERA SE DA CUENTA QUE CAMBIARON LA ETIQUETA PRECIO DE UN POLO ECONOMICO DE 24.90 SOLS </t>
        </r>
      </text>
    </comment>
    <comment ref="O66" authorId="1" shapeId="0" xr:uid="{026EA74F-F700-4700-9408-75DD1963E4D8}">
      <text>
        <r>
          <rPr>
            <b/>
            <sz val="9"/>
            <color indexed="81"/>
            <rFont val="Tahoma"/>
            <family val="2"/>
          </rPr>
          <t xml:space="preserve">LA CAJERA LICETH SE DA CUENTA QUE SE QUIEREN LLEVAR UN PERFUME </t>
        </r>
      </text>
    </comment>
    <comment ref="O67" authorId="1" shapeId="0" xr:uid="{747CDB69-5C31-4527-846B-819AC96B9D0E}">
      <text>
        <r>
          <rPr>
            <b/>
            <sz val="9"/>
            <color indexed="81"/>
            <rFont val="Tahoma"/>
            <family val="2"/>
          </rPr>
          <t xml:space="preserve">SE DA CUENTA EL ENCARGADO QUE ESTA VACIO EL ESTUCHE 
</t>
        </r>
      </text>
    </comment>
    <comment ref="O68" authorId="1" shapeId="0" xr:uid="{3DBD548A-6CD5-491B-85A6-D7154BB1955E}">
      <text>
        <r>
          <rPr>
            <b/>
            <sz val="9"/>
            <color indexed="81"/>
            <rFont val="Tahoma"/>
            <family val="2"/>
          </rPr>
          <t xml:space="preserve">LA SRTA ZOILA DE VENTA TEXTIL SE DA CUENTA Y LE INDICA AL SEGUIDAD Y SE RECUPERA LA PRENDA 
</t>
        </r>
      </text>
    </comment>
    <comment ref="O70" authorId="1" shapeId="0" xr:uid="{C44E39B3-8E77-4438-9172-E61944BEA210}">
      <text>
        <r>
          <rPr>
            <b/>
            <sz val="9"/>
            <color indexed="81"/>
            <rFont val="Tahoma"/>
            <family val="2"/>
          </rPr>
          <t>USER:
SEGURIDAD HACIENDO RONDA SE ENCONTRO CAJA</t>
        </r>
        <r>
          <rPr>
            <sz val="9"/>
            <color indexed="81"/>
            <rFont val="Tahoma"/>
            <family val="2"/>
          </rPr>
          <t xml:space="preserve"> VACIA </t>
        </r>
      </text>
    </comment>
    <comment ref="O71" authorId="1" shapeId="0" xr:uid="{7012F807-3E90-4C10-9053-105D5B9F7992}">
      <text>
        <r>
          <rPr>
            <b/>
            <sz val="9"/>
            <color indexed="81"/>
            <rFont val="Tahoma"/>
            <charset val="1"/>
          </rPr>
          <t xml:space="preserve">EL SEG ONASIS SE DA CUENTA QUE UN OVEN A LA HORA DE SALIR SE APRECIA TENER UN BUTO AL LADO DE SUS GENITALES POR LO CUAL LO INTERVIENE Y EFECTIVAMENTE ERA UN POLO 
</t>
        </r>
      </text>
    </comment>
    <comment ref="O72" authorId="1" shapeId="0" xr:uid="{DEA0A398-9D5E-4238-AC5C-BF94A1E4430E}">
      <text>
        <r>
          <rPr>
            <b/>
            <sz val="9"/>
            <color indexed="81"/>
            <rFont val="Tahoma"/>
            <charset val="1"/>
          </rPr>
          <t xml:space="preserve">EL SEGURIDAD RICHARD SE DA CUENTA Y EL TENDERO DEJA EL POLO EL OTRA AREA Y SALE DE LA TIENDA INSULTANDO 
</t>
        </r>
      </text>
    </comment>
    <comment ref="O73" authorId="1" shapeId="0" xr:uid="{6FB028D1-10A0-48C8-95E5-91CE1B65B9F4}">
      <text>
        <r>
          <rPr>
            <b/>
            <sz val="9"/>
            <color indexed="81"/>
            <rFont val="Tahoma"/>
            <charset val="1"/>
          </rPr>
          <t xml:space="preserve">SE DAN CUENTA DE LA ACTITUD DE UN TENDERO Y SE LE HACE SEGUIMIENTO POR CAMARAS Y HACEN UN BUEN TRABAJO Y SE RECUPERA LOS 3 POLOS Y LE HACE HACER EJERCICIOS AL TENDERO
</t>
        </r>
      </text>
    </comment>
    <comment ref="O74" authorId="1" shapeId="0" xr:uid="{C40F7FE9-97A4-4ABB-89EC-00F5E8ECC4FD}">
      <text>
        <r>
          <rPr>
            <b/>
            <sz val="9"/>
            <color indexed="81"/>
            <rFont val="Tahoma"/>
            <charset val="1"/>
          </rPr>
          <t xml:space="preserve">SE DAN CUENTA DE LA ACTITUD DE UN TENDERO Y SE LE HACE SEGUIMIENTO POR CAMARAS Y HACEN UN BUEN TRABAJO Y SE RECUPERA LOS 3 POLOS Y LE HACE HACER EJERCICIOS AL TENDERO
</t>
        </r>
      </text>
    </comment>
    <comment ref="O75" authorId="1" shapeId="0" xr:uid="{B7CF8986-28A0-426F-9408-CA1C7923A533}">
      <text>
        <r>
          <rPr>
            <b/>
            <sz val="9"/>
            <color indexed="81"/>
            <rFont val="Tahoma"/>
            <family val="2"/>
          </rPr>
          <t xml:space="preserve">LA SRTA CLAUDIA SE DA CUENTA Y EN CONJUNTO DE SEGURIDAD DANNY SE LE INTERVIENE Y SE RECUPERA LA PRENDA 
</t>
        </r>
      </text>
    </comment>
    <comment ref="O76" authorId="1" shapeId="0" xr:uid="{974B18F7-0F5C-45F7-BBA7-0A1AE7E2611A}">
      <text>
        <r>
          <rPr>
            <b/>
            <sz val="9"/>
            <color indexed="81"/>
            <rFont val="Tahoma"/>
            <charset val="1"/>
          </rPr>
          <t xml:space="preserve">EL VENDEDOR ENCUENTRA LA CAJA VACIA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USER</author>
  </authors>
  <commentList>
    <comment ref="I4" authorId="0" shapeId="0" xr:uid="{00000000-0006-0000-0400-000001000000}">
      <text>
        <r>
          <rPr>
            <sz val="11"/>
            <color rgb="FF000000"/>
            <rFont val="Arial"/>
            <family val="2"/>
            <scheme val="minor"/>
          </rPr>
          <t xml:space="preserve">ME INDICA EL SEÑOR ANIBAL ENCARGADO E SEGURIDAD QUE RECIEN ESTAN ANOANDO DEL DIA 9 DE MARZO YA QUE INDICA QUE EL ADM ES NUEVO 
</t>
        </r>
      </text>
    </comment>
    <comment ref="I6" authorId="0" shapeId="0" xr:uid="{00000000-0006-0000-0400-000002000000}">
      <text>
        <r>
          <rPr>
            <sz val="11"/>
            <color rgb="FF000000"/>
            <rFont val="Arial"/>
            <family val="2"/>
            <scheme val="minor"/>
          </rPr>
          <t xml:space="preserve">ME INDICA QUE VAN A RECIEN ANOTAR YA QUE NO HUBO IMPRESION Y EL ADM NO LE COMENTAR DE LLENAR LA HOJA </t>
        </r>
      </text>
    </comment>
    <comment ref="I19" authorId="0" shapeId="0" xr:uid="{00000000-0006-0000-0400-000003000000}">
      <text>
        <r>
          <rPr>
            <sz val="11"/>
            <color rgb="FF000000"/>
            <rFont val="Arial"/>
            <family val="2"/>
            <scheme val="minor"/>
          </rPr>
          <t xml:space="preserve">SE HACE UNA LLAMADA AL SEGURIDAD CARLOS QUIEN ME INDICA QUE EL ADM LE NO INDICO QUE NO ERA NECESARIO ANOTAR </t>
        </r>
      </text>
    </comment>
    <comment ref="I21" authorId="0" shapeId="0" xr:uid="{00000000-0006-0000-0400-000004000000}">
      <text>
        <r>
          <rPr>
            <sz val="11"/>
            <color rgb="FF000000"/>
            <rFont val="Arial"/>
            <family val="2"/>
            <scheme val="minor"/>
          </rPr>
          <t xml:space="preserve">YA NO ES TIENDA ALMACEN DE REMATE 
</t>
        </r>
      </text>
    </comment>
    <comment ref="I61" authorId="0" shapeId="0" xr:uid="{00000000-0006-0000-0400-000005000000}">
      <text>
        <r>
          <rPr>
            <sz val="11"/>
            <color rgb="FF000000"/>
            <rFont val="Arial"/>
            <family val="2"/>
            <scheme val="minor"/>
          </rPr>
          <t xml:space="preserve">EL SEGURIDAD TORREZ ME INDICA QUE EL ADM LE INDICO, ASI PASEN POR AHÍ LO MARQUEN EN EL CONTEO.
EL MIERCOLES 18 LE INDIQUE QUE SOLO CUENTE LAS PERSONAS QUE INGREAN A TIENDA Y ADULTAS.
LE INDICO AL ADM PERO IGUL LE INDICO QUE CUENTE NADA MAS 
</t>
        </r>
      </text>
    </comment>
    <comment ref="H91" authorId="0" shapeId="0" xr:uid="{00000000-0006-0000-0400-000006000000}">
      <text>
        <r>
          <rPr>
            <sz val="11"/>
            <color rgb="FF000000"/>
            <rFont val="Arial"/>
            <family val="2"/>
            <scheme val="minor"/>
          </rPr>
          <t xml:space="preserve">EL SEGURIDAD LE INDICO AL ADMINISTRADOR DEL CONTEO DE CLIENTES 
EL ADMINISTRADR INDICA QUE NO HUBO PERSONALPARA QUE ESTE EN PUERTAS 
</t>
        </r>
      </text>
    </comment>
    <comment ref="B139" authorId="0" shapeId="0" xr:uid="{00000000-0006-0000-0400-000007000000}">
      <text>
        <r>
          <rPr>
            <sz val="11"/>
            <color rgb="FF000000"/>
            <rFont val="Arial"/>
            <family val="2"/>
            <scheme val="minor"/>
          </rPr>
          <t xml:space="preserve">DESCANSO SEGURIDAD 
ADM INDICA QUE NO TUBO PERSONAL POR ESO NO ANOTARON </t>
        </r>
      </text>
    </comment>
    <comment ref="F206" authorId="1" shapeId="0" xr:uid="{E844B1BA-BEDB-498C-AFCB-8E4279595A67}">
      <text>
        <r>
          <rPr>
            <b/>
            <sz val="9"/>
            <color indexed="81"/>
            <rFont val="Tahoma"/>
            <family val="2"/>
          </rPr>
          <t xml:space="preserve">NADIE ANOTO 
</t>
        </r>
      </text>
    </comment>
    <comment ref="D228" authorId="1" shapeId="0" xr:uid="{E7A9E461-6C1C-4B8A-80FA-90EC207331D8}">
      <text>
        <r>
          <rPr>
            <b/>
            <sz val="9"/>
            <color indexed="81"/>
            <rFont val="Tahoma"/>
            <family val="2"/>
          </rPr>
          <t xml:space="preserve">SOLO UNA PUERTA 
</t>
        </r>
      </text>
    </comment>
    <comment ref="H229" authorId="1" shapeId="0" xr:uid="{09B8743B-1C25-4927-B06E-3BFF730EEEFE}">
      <text>
        <r>
          <rPr>
            <b/>
            <sz val="9"/>
            <color indexed="81"/>
            <rFont val="Tahoma"/>
            <family val="2"/>
          </rPr>
          <t xml:space="preserve">NADIE ANOTO 
DESCANSO SEGURIDAD
</t>
        </r>
      </text>
    </comment>
    <comment ref="D371" authorId="1" shapeId="0" xr:uid="{AD066E25-C271-4A03-9ABA-9E2A35EA7853}">
      <text>
        <r>
          <rPr>
            <b/>
            <sz val="9"/>
            <color indexed="81"/>
            <rFont val="Tahoma"/>
            <family val="2"/>
          </rPr>
          <t xml:space="preserve">POR PINTADO DE FACHADA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25" authorId="0" shapeId="0" xr:uid="{67754A25-D157-4237-80D8-999F36E5746E}">
      <text>
        <r>
          <rPr>
            <b/>
            <sz val="9"/>
            <color indexed="81"/>
            <rFont val="Tahoma"/>
            <family val="2"/>
          </rPr>
          <t xml:space="preserve">RECIEN ME MANDO LA INFORMACION
</t>
        </r>
      </text>
    </comment>
    <comment ref="F25" authorId="0" shapeId="0" xr:uid="{EB7CC3EA-502D-480C-A0B4-01BD846FA591}">
      <text>
        <r>
          <rPr>
            <b/>
            <sz val="9"/>
            <color indexed="81"/>
            <rFont val="Tahoma"/>
            <family val="2"/>
          </rPr>
          <t xml:space="preserve">SE OLVIDO MANDAR DE LA SEMANA PASADA
</t>
        </r>
      </text>
    </comment>
    <comment ref="G25" authorId="0" shapeId="0" xr:uid="{EE1E04BF-D47D-4AB3-80A8-217CE9B8E31B}">
      <text>
        <r>
          <rPr>
            <b/>
            <sz val="9"/>
            <color indexed="81"/>
            <rFont val="Tahoma"/>
            <family val="2"/>
          </rPr>
          <t xml:space="preserve">FALTO DEL DIA 1,2,3 MAYO
</t>
        </r>
      </text>
    </comment>
    <comment ref="H25" authorId="0" shapeId="0" xr:uid="{563C6933-0AFD-4C93-976F-461D166C112E}">
      <text>
        <r>
          <rPr>
            <b/>
            <sz val="9"/>
            <color indexed="81"/>
            <rFont val="Tahoma"/>
            <family val="2"/>
          </rPr>
          <t xml:space="preserve">FALTO EL SEGURIDAD POR ESO NO MANDO 
</t>
        </r>
      </text>
    </comment>
    <comment ref="I25" authorId="0" shapeId="0" xr:uid="{E00CEAAD-B388-456C-B43F-80FF80780C53}">
      <text>
        <r>
          <rPr>
            <b/>
            <sz val="9"/>
            <color indexed="81"/>
            <rFont val="Tahoma"/>
            <family val="2"/>
          </rPr>
          <t xml:space="preserve">NO TIENE HOJA PARA HACER EL CONTEO
</t>
        </r>
      </text>
    </comment>
    <comment ref="J25" authorId="0" shapeId="0" xr:uid="{9B5CAC61-4B53-4124-83B7-45BE7F629BB7}">
      <text>
        <r>
          <rPr>
            <b/>
            <sz val="9"/>
            <color indexed="81"/>
            <rFont val="Tahoma"/>
            <family val="2"/>
          </rPr>
          <t xml:space="preserve">ES NUEVO EL SEGURIDAD 
DESCANDO DOMINGO 
</t>
        </r>
      </text>
    </comment>
    <comment ref="K25" authorId="0" shapeId="0" xr:uid="{1D3568AC-336D-4741-ADE4-DC87A7DF65BE}">
      <text>
        <r>
          <rPr>
            <b/>
            <sz val="9"/>
            <color indexed="81"/>
            <rFont val="Tahoma"/>
            <family val="2"/>
          </rPr>
          <t xml:space="preserve">ES NUEVO EL SEGURIDAD 
DESCANDO DOMINGO 
</t>
        </r>
      </text>
    </comment>
    <comment ref="L25" authorId="0" shapeId="0" xr:uid="{30771F18-119D-43D7-BBF0-93D61991E902}">
      <text>
        <r>
          <rPr>
            <b/>
            <sz val="9"/>
            <color indexed="81"/>
            <rFont val="Tahoma"/>
            <family val="2"/>
          </rPr>
          <t xml:space="preserve">ES NUEVO EL SEGURIDAD 
DESCANDO DOMINGO 
</t>
        </r>
      </text>
    </comment>
    <comment ref="M25" authorId="0" shapeId="0" xr:uid="{93846A2E-DDC1-4B65-8F32-33FBC9E94CFB}">
      <text>
        <r>
          <rPr>
            <b/>
            <sz val="9"/>
            <color indexed="81"/>
            <rFont val="Tahoma"/>
            <family val="2"/>
          </rPr>
          <t xml:space="preserve">ES NUEVO EL SEGURIDAD 
DESCANDO DOMINGO 
</t>
        </r>
      </text>
    </comment>
  </commentList>
</comments>
</file>

<file path=xl/sharedStrings.xml><?xml version="1.0" encoding="utf-8"?>
<sst xmlns="http://schemas.openxmlformats.org/spreadsheetml/2006/main" count="1522" uniqueCount="443">
  <si>
    <t>Semana</t>
  </si>
  <si>
    <t>Tienda</t>
  </si>
  <si>
    <t>Fecha</t>
  </si>
  <si>
    <t>Semana2</t>
  </si>
  <si>
    <t>Área</t>
  </si>
  <si>
    <t>Producto</t>
  </si>
  <si>
    <t>Marca</t>
  </si>
  <si>
    <t>Cantidad</t>
  </si>
  <si>
    <t>P. Venta</t>
  </si>
  <si>
    <t>Total</t>
  </si>
  <si>
    <t>Tipo Incidencia</t>
  </si>
  <si>
    <t>Personal Tienda</t>
  </si>
  <si>
    <t>Datos Involucrado</t>
  </si>
  <si>
    <t>DNI</t>
  </si>
  <si>
    <t>Observaciones</t>
  </si>
  <si>
    <t>MARINA</t>
  </si>
  <si>
    <t>Textil</t>
  </si>
  <si>
    <t xml:space="preserve">Polo m/c </t>
  </si>
  <si>
    <t xml:space="preserve">DISNEY LACOSTE </t>
  </si>
  <si>
    <t>34.90 + 99.00</t>
  </si>
  <si>
    <t xml:space="preserve">ROBO FRUSTRADO </t>
  </si>
  <si>
    <t>SRTA GREYDI</t>
  </si>
  <si>
    <t>SIN DATOS MUJER</t>
  </si>
  <si>
    <t xml:space="preserve">BILLETERA </t>
  </si>
  <si>
    <t>POLAR</t>
  </si>
  <si>
    <t>COACH</t>
  </si>
  <si>
    <t>ROBO</t>
  </si>
  <si>
    <t xml:space="preserve">2 MENORES DE EDAD </t>
  </si>
  <si>
    <t>AYACUCHO</t>
  </si>
  <si>
    <t xml:space="preserve">ZAPATILLA </t>
  </si>
  <si>
    <t xml:space="preserve">ADIDAS </t>
  </si>
  <si>
    <t>159 + 169</t>
  </si>
  <si>
    <t>SEG ANIBAL</t>
  </si>
  <si>
    <t>SIN DATOS V Y M</t>
  </si>
  <si>
    <t>EMANCIPACIÓN</t>
  </si>
  <si>
    <t>ZAPATILLA</t>
  </si>
  <si>
    <t>ECKKO</t>
  </si>
  <si>
    <t>SIN DATOS VARON</t>
  </si>
  <si>
    <t xml:space="preserve">UNDER ARMOUR </t>
  </si>
  <si>
    <t>ROBO FRUSTADO</t>
  </si>
  <si>
    <t>TRABAJO EN CONJUNTO</t>
  </si>
  <si>
    <t>PUENTE PIEDRA</t>
  </si>
  <si>
    <t xml:space="preserve">COLABORADORES </t>
  </si>
  <si>
    <t xml:space="preserve">SIN DATOS </t>
  </si>
  <si>
    <t>Polo m/c</t>
  </si>
  <si>
    <t xml:space="preserve">LACOSTE </t>
  </si>
  <si>
    <t xml:space="preserve">FALTA </t>
  </si>
  <si>
    <t>ANGAMOS</t>
  </si>
  <si>
    <t>TARJETA DE MEMORIA 128GH</t>
  </si>
  <si>
    <t xml:space="preserve">MEMORY CARD </t>
  </si>
  <si>
    <t xml:space="preserve">CAJERA FELICINDA </t>
  </si>
  <si>
    <t xml:space="preserve">SEG ONASIS </t>
  </si>
  <si>
    <t xml:space="preserve">JUAN CARLOS OCHOA GUERRA </t>
  </si>
  <si>
    <t xml:space="preserve">ZAPATILLAS </t>
  </si>
  <si>
    <t>MARCA</t>
  </si>
  <si>
    <t>SIN DATOS</t>
  </si>
  <si>
    <t>POLO</t>
  </si>
  <si>
    <t>ARMANI</t>
  </si>
  <si>
    <t xml:space="preserve">ROBO FRUSTADO </t>
  </si>
  <si>
    <t xml:space="preserve">ADM DAYETZA </t>
  </si>
  <si>
    <t xml:space="preserve">MANUEL </t>
  </si>
  <si>
    <t>SEG PEREYRA</t>
  </si>
  <si>
    <t xml:space="preserve">PAREJA </t>
  </si>
  <si>
    <t>INDEPENDENCIA</t>
  </si>
  <si>
    <t xml:space="preserve">POLO </t>
  </si>
  <si>
    <t>BOSS</t>
  </si>
  <si>
    <t>89.9 + 79 + 85</t>
  </si>
  <si>
    <t xml:space="preserve">VEND NICOL VASQUEZ </t>
  </si>
  <si>
    <t xml:space="preserve">3 JOVENES MENOR EDAD </t>
  </si>
  <si>
    <t>ALFONSO UGARTE</t>
  </si>
  <si>
    <t>SEG FRANCO</t>
  </si>
  <si>
    <t xml:space="preserve">SIN DATOS VARON </t>
  </si>
  <si>
    <t>FRUSTRADOS</t>
  </si>
  <si>
    <t>REALIZADOS</t>
  </si>
  <si>
    <t>TOTAL</t>
  </si>
  <si>
    <t>VALORIZADO DE ROBOS POR TIENDA</t>
  </si>
  <si>
    <t>VALORIZADO DE ROBOS POR SEMANA</t>
  </si>
  <si>
    <t>Mar</t>
  </si>
  <si>
    <t>Abr</t>
  </si>
  <si>
    <t>Total general</t>
  </si>
  <si>
    <t>Area</t>
  </si>
  <si>
    <t>TRUJILLO</t>
  </si>
  <si>
    <t>TUMBES</t>
  </si>
  <si>
    <t>ARAMBURU</t>
  </si>
  <si>
    <t>PERSHING</t>
  </si>
  <si>
    <t>CALLAO</t>
  </si>
  <si>
    <t>ALIPIO</t>
  </si>
  <si>
    <t>CHORRILLOS</t>
  </si>
  <si>
    <t>JR UNION N°797</t>
  </si>
  <si>
    <t>PZA UNION</t>
  </si>
  <si>
    <t>ARGENTINA</t>
  </si>
  <si>
    <t>CONTEO DE CLIENTES SEGURIDAD - 02 AL 08 DE MARZO 2026</t>
  </si>
  <si>
    <t xml:space="preserve">TIENDAS </t>
  </si>
  <si>
    <t>LUNES 2</t>
  </si>
  <si>
    <t>MARTES 3</t>
  </si>
  <si>
    <t>MIERCOLES 4</t>
  </si>
  <si>
    <t>JUEVES 5</t>
  </si>
  <si>
    <t>VIERNES 6</t>
  </si>
  <si>
    <t>SABADO 7</t>
  </si>
  <si>
    <t>DOMINGO 8</t>
  </si>
  <si>
    <t>S/N</t>
  </si>
  <si>
    <t>EMANCIPACION</t>
  </si>
  <si>
    <t>P. PIEDRA</t>
  </si>
  <si>
    <t xml:space="preserve">A.UGARTE </t>
  </si>
  <si>
    <t xml:space="preserve">CHORRILLOS </t>
  </si>
  <si>
    <t>PLAZA UNION</t>
  </si>
  <si>
    <t>JR UNION</t>
  </si>
  <si>
    <t xml:space="preserve">ARGENTINA </t>
  </si>
  <si>
    <t>PUNO</t>
  </si>
  <si>
    <t>CONTEO DE CLIENTES SEGURIDAD - 09 AL 15 DE MARZO 2026</t>
  </si>
  <si>
    <t>LUNES 9</t>
  </si>
  <si>
    <t>MARTES 10</t>
  </si>
  <si>
    <t>MIERCOLES 11</t>
  </si>
  <si>
    <t>JUEVES 12</t>
  </si>
  <si>
    <t>VIERNES 13</t>
  </si>
  <si>
    <t>SABADO 14</t>
  </si>
  <si>
    <t>DOMINGO 15</t>
  </si>
  <si>
    <t>D</t>
  </si>
  <si>
    <t>CONTEO DE CLIENTES SEGURIDAD - 16 AL 22 DE MARZO 2026</t>
  </si>
  <si>
    <t>LUNES 16</t>
  </si>
  <si>
    <t>MARTES 17</t>
  </si>
  <si>
    <t>MIERCOLES 18</t>
  </si>
  <si>
    <t>JUEVES 19</t>
  </si>
  <si>
    <t>VIERNES 20</t>
  </si>
  <si>
    <t>SABADO 21</t>
  </si>
  <si>
    <t>DOMINGO 22</t>
  </si>
  <si>
    <t>CONTEO DE CLIENTES SEGURIDAD - 23 AL 29 DE MARZO 2026</t>
  </si>
  <si>
    <t>LUNES 23</t>
  </si>
  <si>
    <t>MARTES 24</t>
  </si>
  <si>
    <t>MIERCOLES 25</t>
  </si>
  <si>
    <t>JUEVES 26</t>
  </si>
  <si>
    <t>VIERNES 27</t>
  </si>
  <si>
    <t>SABADO 28</t>
  </si>
  <si>
    <t>DOMINGO 29</t>
  </si>
  <si>
    <t>CONTEO DE CLIENTES SEGURIDAD - 30 MARZO AL 05 DE ABRIL 2026</t>
  </si>
  <si>
    <t>LUNES 30</t>
  </si>
  <si>
    <t>MARTES 31</t>
  </si>
  <si>
    <t>MIERCOLES 01</t>
  </si>
  <si>
    <t>JUEVES 02</t>
  </si>
  <si>
    <t>VIERNES 03</t>
  </si>
  <si>
    <t>SABADO 04</t>
  </si>
  <si>
    <t>DOMINGO 05</t>
  </si>
  <si>
    <t xml:space="preserve">CERRADO </t>
  </si>
  <si>
    <t>FERIADO</t>
  </si>
  <si>
    <t>CONTEO DE CLIENTES SEGURIDAD - 06 AL 12 DE ABRIL 2026</t>
  </si>
  <si>
    <t>LUNES 06</t>
  </si>
  <si>
    <t>MARTES 07</t>
  </si>
  <si>
    <t>MIERCOLES 08</t>
  </si>
  <si>
    <t>JUEVES 09</t>
  </si>
  <si>
    <t>VIERNES 10</t>
  </si>
  <si>
    <t>SABADO 11</t>
  </si>
  <si>
    <t>DOMINGO 12</t>
  </si>
  <si>
    <t xml:space="preserve">                                                                                                                 </t>
  </si>
  <si>
    <t>CERRADO</t>
  </si>
  <si>
    <t>NO</t>
  </si>
  <si>
    <t>CONTEO DE CLIENTES SEGURIDAD - 13 AL 19 DE ABRIL 2026</t>
  </si>
  <si>
    <t>LUNES 13</t>
  </si>
  <si>
    <t>MARTES 14</t>
  </si>
  <si>
    <t>MIERCOLES 15</t>
  </si>
  <si>
    <t>JUEVES 16</t>
  </si>
  <si>
    <t>VIERNES 17</t>
  </si>
  <si>
    <t>SABADO 18</t>
  </si>
  <si>
    <t>DOMINGO 19</t>
  </si>
  <si>
    <t>CONTEO DE CLIENTES SEGURIDAD - 20 AL 26 DE ABRIL 2026</t>
  </si>
  <si>
    <t>LUNES 20</t>
  </si>
  <si>
    <t>MARTES 21</t>
  </si>
  <si>
    <t>MIERCOLES 22</t>
  </si>
  <si>
    <t>JUEVES 23</t>
  </si>
  <si>
    <t>VIERNES 24</t>
  </si>
  <si>
    <t>SABADO 25</t>
  </si>
  <si>
    <t>DOMINGO 26</t>
  </si>
  <si>
    <t xml:space="preserve">S/N </t>
  </si>
  <si>
    <t>ACTA DE DETENCIÓN POR HURTO</t>
  </si>
  <si>
    <t>ALMACÉN DE REMATES</t>
  </si>
  <si>
    <t>1. INFORMACIÓN GENERAL</t>
  </si>
  <si>
    <t>Fecha:</t>
  </si>
  <si>
    <t>Hora:</t>
  </si>
  <si>
    <t>Lugar/Área:</t>
  </si>
  <si>
    <t>Reportado por:</t>
  </si>
  <si>
    <t>2. DATOS COMPLETOS DEL DETENIDO</t>
  </si>
  <si>
    <t>Nombres y Apellidos:</t>
  </si>
  <si>
    <t>Documento de Identidad:</t>
  </si>
  <si>
    <t>Nacionalidad:</t>
  </si>
  <si>
    <t>Fecha Nac:</t>
  </si>
  <si>
    <t>Edad:</t>
  </si>
  <si>
    <t>Dirección:</t>
  </si>
  <si>
    <t>Barrio/Distrito:</t>
  </si>
  <si>
    <t>Teléfono:</t>
  </si>
  <si>
    <t>Contacto Familiar:</t>
  </si>
  <si>
    <t>Tel. Familiar:</t>
  </si>
  <si>
    <t>3. DESCRIPCIÓN DE LOS HECHOS</t>
  </si>
  <si>
    <t>4. DETALLE DE MERCANCÍA RECUPERADA</t>
  </si>
  <si>
    <t>Cant.</t>
  </si>
  <si>
    <t>Descripción / Marca</t>
  </si>
  <si>
    <t>Código / SKU</t>
  </si>
  <si>
    <t>Estado</t>
  </si>
  <si>
    <t>Valor</t>
  </si>
  <si>
    <t>TOTAL ESTIMADO</t>
  </si>
  <si>
    <t>SUMA DE TOTAL</t>
  </si>
  <si>
    <t>ETIQUETAS DE FILA</t>
  </si>
  <si>
    <t>ETIQUETAS DE COLUMNA</t>
  </si>
  <si>
    <t>CALZADO</t>
  </si>
  <si>
    <t>TEXTIL</t>
  </si>
  <si>
    <t>TOTAL GENERAL</t>
  </si>
  <si>
    <t>DEL 06 al 12 ABRIL</t>
  </si>
  <si>
    <t>(EN BANCO)</t>
  </si>
  <si>
    <t>CONTEO DE CLIENTES SEGURIDAD -27 DE ABRIL AL 03 MAYO 2026</t>
  </si>
  <si>
    <t>LUNES 27</t>
  </si>
  <si>
    <t>MARTES 28</t>
  </si>
  <si>
    <t>MIERCOLES 29</t>
  </si>
  <si>
    <t>JUEVES 30</t>
  </si>
  <si>
    <t>VIERNES 01</t>
  </si>
  <si>
    <t>SABADO 02</t>
  </si>
  <si>
    <t>DOMINGO 03</t>
  </si>
  <si>
    <t>SEMANA</t>
  </si>
  <si>
    <t>TIENDA</t>
  </si>
  <si>
    <t>FECHA</t>
  </si>
  <si>
    <t>AREA</t>
  </si>
  <si>
    <t>PRODUCTO</t>
  </si>
  <si>
    <t>CANT</t>
  </si>
  <si>
    <t xml:space="preserve">P. VENTA </t>
  </si>
  <si>
    <t xml:space="preserve">TIPO INCIDENCIA </t>
  </si>
  <si>
    <t xml:space="preserve">PERSONAL TIENDA </t>
  </si>
  <si>
    <t xml:space="preserve">DATOS INVOLUCRADOS </t>
  </si>
  <si>
    <t xml:space="preserve">OBSERVACIONES </t>
  </si>
  <si>
    <t>OTROS</t>
  </si>
  <si>
    <t>LEGGING</t>
  </si>
  <si>
    <t>SEG YULEIDYS</t>
  </si>
  <si>
    <t xml:space="preserve">2 FEMINAS </t>
  </si>
  <si>
    <t xml:space="preserve">PERFUME </t>
  </si>
  <si>
    <t>DIAVOLO EDT</t>
  </si>
  <si>
    <t xml:space="preserve">1 VARON </t>
  </si>
  <si>
    <t xml:space="preserve">ROBO </t>
  </si>
  <si>
    <t xml:space="preserve">OSCAR </t>
  </si>
  <si>
    <t>PSYCHO BUNNY</t>
  </si>
  <si>
    <t xml:space="preserve">65.00 + 65.00 </t>
  </si>
  <si>
    <t xml:space="preserve">SEG MARCOS TENORIO </t>
  </si>
  <si>
    <t xml:space="preserve">1 FEMINA </t>
  </si>
  <si>
    <t xml:space="preserve">MARINA </t>
  </si>
  <si>
    <t>ECKO</t>
  </si>
  <si>
    <t xml:space="preserve">VENDEDOR </t>
  </si>
  <si>
    <t>CONTEO DE CLIENTES SEGURIDAD - 04 AL 10 MAYO 2026</t>
  </si>
  <si>
    <t>LUNES 04</t>
  </si>
  <si>
    <t>MARTES 05</t>
  </si>
  <si>
    <t>MIERCOLES 06</t>
  </si>
  <si>
    <t>JUEVES 07</t>
  </si>
  <si>
    <t>VIERNES 08</t>
  </si>
  <si>
    <t>SABADO 09</t>
  </si>
  <si>
    <t>DOMINGO 10</t>
  </si>
  <si>
    <t>FALTA</t>
  </si>
  <si>
    <t>MONTO FRUSTRADO</t>
  </si>
  <si>
    <t>MONTO ROBADO</t>
  </si>
  <si>
    <r>
      <t xml:space="preserve">TEXTIL - DISNEY LACOSTE (2)                        </t>
    </r>
    <r>
      <rPr>
        <b/>
        <sz val="11"/>
        <color theme="1"/>
        <rFont val="Arial"/>
        <family val="2"/>
        <scheme val="minor"/>
      </rPr>
      <t>S/34.90 + S/99.00</t>
    </r>
  </si>
  <si>
    <r>
      <t xml:space="preserve">TEXTIL - LACOSTE (1) </t>
    </r>
    <r>
      <rPr>
        <b/>
        <sz val="11"/>
        <color theme="1"/>
        <rFont val="Arial"/>
        <family val="2"/>
        <scheme val="minor"/>
      </rPr>
      <t>S/99.00</t>
    </r>
  </si>
  <si>
    <r>
      <t xml:space="preserve">OTROS - BILLETERA </t>
    </r>
    <r>
      <rPr>
        <b/>
        <sz val="11"/>
        <color rgb="FF000000"/>
        <rFont val="Arial"/>
        <family val="2"/>
        <scheme val="minor"/>
      </rPr>
      <t>S/14.00</t>
    </r>
  </si>
  <si>
    <r>
      <t xml:space="preserve">CALZADO - ADIDAS (2) </t>
    </r>
    <r>
      <rPr>
        <b/>
        <sz val="11"/>
        <color theme="1"/>
        <rFont val="Arial"/>
        <family val="2"/>
        <scheme val="minor"/>
      </rPr>
      <t>S/159.00 + S/169.00</t>
    </r>
  </si>
  <si>
    <r>
      <t xml:space="preserve">CALZADO - UNDER ARMOUR (1)           </t>
    </r>
    <r>
      <rPr>
        <b/>
        <sz val="11"/>
        <color theme="1"/>
        <rFont val="Arial"/>
        <family val="2"/>
        <scheme val="minor"/>
      </rPr>
      <t>S/139.00</t>
    </r>
  </si>
  <si>
    <r>
      <rPr>
        <sz val="11"/>
        <color rgb="FF000000"/>
        <rFont val="Arial"/>
        <family val="2"/>
        <scheme val="minor"/>
      </rPr>
      <t>CALZADO - ECKKO (1)</t>
    </r>
    <r>
      <rPr>
        <b/>
        <sz val="11"/>
        <color rgb="FF000000"/>
        <rFont val="Arial"/>
        <family val="2"/>
        <scheme val="minor"/>
      </rPr>
      <t xml:space="preserve"> S/89.00</t>
    </r>
  </si>
  <si>
    <r>
      <rPr>
        <sz val="11"/>
        <color rgb="FF000000"/>
        <rFont val="Arial"/>
        <family val="2"/>
        <scheme val="minor"/>
      </rPr>
      <t>TEXTIL - LACOSTE (1)</t>
    </r>
    <r>
      <rPr>
        <b/>
        <sz val="11"/>
        <color rgb="FF000000"/>
        <rFont val="Arial"/>
        <family val="2"/>
        <scheme val="minor"/>
      </rPr>
      <t xml:space="preserve">       S/79.00</t>
    </r>
  </si>
  <si>
    <r>
      <rPr>
        <sz val="11"/>
        <color rgb="FF000000"/>
        <rFont val="Arial"/>
        <family val="2"/>
        <scheme val="minor"/>
      </rPr>
      <t>CALZADO - ADIDAS (1)</t>
    </r>
    <r>
      <rPr>
        <b/>
        <sz val="11"/>
        <color rgb="FF000000"/>
        <rFont val="Arial"/>
        <family val="2"/>
        <scheme val="minor"/>
      </rPr>
      <t xml:space="preserve"> S/249.00</t>
    </r>
  </si>
  <si>
    <r>
      <t xml:space="preserve">CALZADO - MARCA (1)        </t>
    </r>
    <r>
      <rPr>
        <b/>
        <sz val="11"/>
        <color rgb="FF000000"/>
        <rFont val="Arial"/>
        <family val="2"/>
        <scheme val="minor"/>
      </rPr>
      <t>S/149.00</t>
    </r>
  </si>
  <si>
    <r>
      <t xml:space="preserve">TARJETA DE MEMORIA 128GH </t>
    </r>
    <r>
      <rPr>
        <b/>
        <sz val="11"/>
        <color rgb="FF000000"/>
        <rFont val="Arial"/>
        <family val="2"/>
        <scheme val="minor"/>
      </rPr>
      <t>S/38.00</t>
    </r>
  </si>
  <si>
    <r>
      <t xml:space="preserve">TEXTIL - POLO ARMANI (1) </t>
    </r>
    <r>
      <rPr>
        <b/>
        <sz val="11"/>
        <color theme="1"/>
        <rFont val="Arial"/>
        <family val="2"/>
        <scheme val="minor"/>
      </rPr>
      <t>S/65.00</t>
    </r>
  </si>
  <si>
    <r>
      <t xml:space="preserve">CALZADO - ADIDAS (1)   </t>
    </r>
    <r>
      <rPr>
        <b/>
        <sz val="11"/>
        <color rgb="FF000000"/>
        <rFont val="Arial"/>
        <family val="2"/>
        <scheme val="minor"/>
      </rPr>
      <t>S/159.00</t>
    </r>
  </si>
  <si>
    <r>
      <t xml:space="preserve">TEXTIL - POLO BOSS (3) </t>
    </r>
    <r>
      <rPr>
        <b/>
        <sz val="11"/>
        <color rgb="FF000000"/>
        <rFont val="Arial"/>
        <family val="2"/>
        <scheme val="minor"/>
      </rPr>
      <t>S/89.90 + S/79.00 + S/85.00</t>
    </r>
  </si>
  <si>
    <r>
      <t xml:space="preserve">CALZADO - ECKO </t>
    </r>
    <r>
      <rPr>
        <b/>
        <sz val="11"/>
        <color rgb="FF000000"/>
        <rFont val="Arial"/>
        <family val="2"/>
        <scheme val="minor"/>
      </rPr>
      <t>S/109.00</t>
    </r>
  </si>
  <si>
    <r>
      <t xml:space="preserve">CALZADO - ECKO </t>
    </r>
    <r>
      <rPr>
        <b/>
        <sz val="11"/>
        <color rgb="FF000000"/>
        <rFont val="Arial"/>
        <family val="2"/>
        <scheme val="minor"/>
      </rPr>
      <t>S/89.00</t>
    </r>
  </si>
  <si>
    <r>
      <t xml:space="preserve">OTROS - PERFUME DIAVOLO EDT (1) </t>
    </r>
    <r>
      <rPr>
        <b/>
        <sz val="11"/>
        <color theme="1"/>
        <rFont val="Arial"/>
        <family val="2"/>
        <scheme val="minor"/>
      </rPr>
      <t>S/35.00</t>
    </r>
  </si>
  <si>
    <r>
      <t xml:space="preserve">TEXTIL LEGGING - ADIDAS (1) </t>
    </r>
    <r>
      <rPr>
        <b/>
        <sz val="11"/>
        <color theme="1"/>
        <rFont val="Arial"/>
        <family val="2"/>
        <scheme val="minor"/>
      </rPr>
      <t>S/89.90</t>
    </r>
  </si>
  <si>
    <r>
      <t xml:space="preserve">CALZADO - ADIDAS (1)    </t>
    </r>
    <r>
      <rPr>
        <b/>
        <sz val="11"/>
        <color rgb="FF000000"/>
        <rFont val="Arial"/>
        <family val="2"/>
        <scheme val="minor"/>
      </rPr>
      <t>S/ 109.00</t>
    </r>
  </si>
  <si>
    <t>RECUPERADO</t>
  </si>
  <si>
    <t>PERDIDA</t>
  </si>
  <si>
    <t>ROBOS POR SEMANA</t>
  </si>
  <si>
    <t>ESTADO</t>
  </si>
  <si>
    <t xml:space="preserve">PUENTE PIEDRA </t>
  </si>
  <si>
    <t>ABRIL SEMANA 1</t>
  </si>
  <si>
    <t>1 AL 7</t>
  </si>
  <si>
    <t>FRUSTRADO</t>
  </si>
  <si>
    <t>ABRIL SEMANA 2</t>
  </si>
  <si>
    <t>8 AL 14</t>
  </si>
  <si>
    <t>ABRIL SEMANA 3</t>
  </si>
  <si>
    <t>15 AL 21</t>
  </si>
  <si>
    <t>ABRIL SEMANA 4</t>
  </si>
  <si>
    <t>22 AL 30</t>
  </si>
  <si>
    <t>SHORT</t>
  </si>
  <si>
    <t>QUICKSILVER</t>
  </si>
  <si>
    <t>NKG</t>
  </si>
  <si>
    <t xml:space="preserve">SEG YULEIDI </t>
  </si>
  <si>
    <t>CONTEO DE CLIENTES SEGURIDAD - 11 AL 17 MAYO 2026</t>
  </si>
  <si>
    <t>LUNES 11</t>
  </si>
  <si>
    <t>MARTES 12</t>
  </si>
  <si>
    <t>MIERCOLES 13</t>
  </si>
  <si>
    <t>JUEVES 14</t>
  </si>
  <si>
    <t>VIERNES 15</t>
  </si>
  <si>
    <t>SABADO 16</t>
  </si>
  <si>
    <t>DOMINGO 17</t>
  </si>
  <si>
    <t>CONTEO DE CLIENTES SEGURIDAD - 18 AL 24 MAYO 2026</t>
  </si>
  <si>
    <t>LUNES 18</t>
  </si>
  <si>
    <t>MARTES 19</t>
  </si>
  <si>
    <t>MIERCOLES 20</t>
  </si>
  <si>
    <t>JUEVES 21</t>
  </si>
  <si>
    <t>VIERNES 22</t>
  </si>
  <si>
    <t>SABADO 23</t>
  </si>
  <si>
    <t>DOMINGO 24</t>
  </si>
  <si>
    <t xml:space="preserve">CASACA </t>
  </si>
  <si>
    <t xml:space="preserve">SEG ANIBAL </t>
  </si>
  <si>
    <t xml:space="preserve">2 VARONES </t>
  </si>
  <si>
    <t xml:space="preserve">ALMACENERO MOISES </t>
  </si>
  <si>
    <t xml:space="preserve">POLO CAMISERO </t>
  </si>
  <si>
    <t>NIKE</t>
  </si>
  <si>
    <t xml:space="preserve">NADIE </t>
  </si>
  <si>
    <t xml:space="preserve">AVENGERS </t>
  </si>
  <si>
    <t>SEG TENORIO</t>
  </si>
  <si>
    <t>DEL 01 AL 31 MAYO</t>
  </si>
  <si>
    <t>MILK</t>
  </si>
  <si>
    <t>EL CAPO</t>
  </si>
  <si>
    <t xml:space="preserve">SEG LUIS GARCIA </t>
  </si>
  <si>
    <t xml:space="preserve">CREMA FACIAL </t>
  </si>
  <si>
    <t>CONTEO DE CLIENTES SEGURIDAD - 25 AL 31 MAYO 2026</t>
  </si>
  <si>
    <t>LUNES 25</t>
  </si>
  <si>
    <t>MARTES 26</t>
  </si>
  <si>
    <t>MIERCOLES 27</t>
  </si>
  <si>
    <t>JUEVES 28</t>
  </si>
  <si>
    <t>VIERNES 29</t>
  </si>
  <si>
    <t>SABADO 30</t>
  </si>
  <si>
    <t>DOMINGO 31</t>
  </si>
  <si>
    <t>C</t>
  </si>
  <si>
    <t>ABRIL</t>
  </si>
  <si>
    <r>
      <t xml:space="preserve">TEXTIL - POLAR  </t>
    </r>
    <r>
      <rPr>
        <b/>
        <sz val="11"/>
        <color theme="1"/>
        <rFont val="Arial"/>
        <family val="2"/>
        <scheme val="minor"/>
      </rPr>
      <t>S/170.00</t>
    </r>
    <r>
      <rPr>
        <sz val="11"/>
        <color theme="1"/>
        <rFont val="Arial"/>
        <family val="2"/>
        <scheme val="minor"/>
      </rPr>
      <t xml:space="preserve"> </t>
    </r>
  </si>
  <si>
    <t>MAYO</t>
  </si>
  <si>
    <r>
      <t xml:space="preserve">TEXTIL CASACA - NKG (1) </t>
    </r>
    <r>
      <rPr>
        <b/>
        <sz val="11"/>
        <color theme="1"/>
        <rFont val="Arial"/>
        <family val="2"/>
        <scheme val="minor"/>
      </rPr>
      <t>S/189.00</t>
    </r>
  </si>
  <si>
    <t xml:space="preserve">MAYO </t>
  </si>
  <si>
    <r>
      <t>CALZADO - AVENGERS (1)</t>
    </r>
    <r>
      <rPr>
        <b/>
        <sz val="11"/>
        <color rgb="FF000000"/>
        <rFont val="Arial"/>
        <family val="2"/>
        <scheme val="minor"/>
      </rPr>
      <t xml:space="preserve"> S/69.00</t>
    </r>
  </si>
  <si>
    <r>
      <t xml:space="preserve">TEXTIL SHORT - NKG (5) </t>
    </r>
    <r>
      <rPr>
        <b/>
        <sz val="11"/>
        <color theme="1"/>
        <rFont val="Arial"/>
        <family val="2"/>
        <scheme val="minor"/>
      </rPr>
      <t>S/499.50</t>
    </r>
  </si>
  <si>
    <r>
      <t xml:space="preserve">OTROS - CREMA FACIAL (1) </t>
    </r>
    <r>
      <rPr>
        <b/>
        <sz val="11"/>
        <color rgb="FF000000"/>
        <rFont val="Arial"/>
        <family val="2"/>
        <scheme val="minor"/>
      </rPr>
      <t>S/60.00</t>
    </r>
  </si>
  <si>
    <r>
      <t xml:space="preserve">TEXTIL POLO - QUICKSILVER (2)                                           </t>
    </r>
    <r>
      <rPr>
        <b/>
        <sz val="11"/>
        <color theme="1"/>
        <rFont val="Arial"/>
        <family val="2"/>
        <scheme val="minor"/>
      </rPr>
      <t>S/69.80</t>
    </r>
  </si>
  <si>
    <r>
      <t xml:space="preserve">CALZADO - NIKE (1) </t>
    </r>
    <r>
      <rPr>
        <b/>
        <sz val="11"/>
        <color rgb="FF000000"/>
        <rFont val="Arial"/>
        <family val="2"/>
        <scheme val="minor"/>
      </rPr>
      <t>S/389.00</t>
    </r>
  </si>
  <si>
    <r>
      <t xml:space="preserve">TEXTIL POLO - LACOSTE (1)       </t>
    </r>
    <r>
      <rPr>
        <b/>
        <sz val="11"/>
        <color theme="1"/>
        <rFont val="Arial"/>
        <family val="2"/>
        <scheme val="minor"/>
      </rPr>
      <t>S/99.00</t>
    </r>
  </si>
  <si>
    <r>
      <t xml:space="preserve">CALZADO - ADIDAS (1) </t>
    </r>
    <r>
      <rPr>
        <b/>
        <sz val="11"/>
        <color rgb="FF000000"/>
        <rFont val="Arial"/>
        <family val="2"/>
        <scheme val="minor"/>
      </rPr>
      <t>S/119.00</t>
    </r>
  </si>
  <si>
    <r>
      <t xml:space="preserve">TEXTIL POLO CAMISERO - LACOSTE (2)                    </t>
    </r>
    <r>
      <rPr>
        <b/>
        <sz val="11"/>
        <color rgb="FF000000"/>
        <rFont val="Arial"/>
        <family val="2"/>
        <scheme val="minor"/>
      </rPr>
      <t>S/198.00</t>
    </r>
  </si>
  <si>
    <r>
      <t xml:space="preserve">TEXTIL SHORT - EL CAPO (1) </t>
    </r>
    <r>
      <rPr>
        <b/>
        <sz val="11"/>
        <color rgb="FF000000"/>
        <rFont val="Arial"/>
        <family val="2"/>
        <scheme val="minor"/>
      </rPr>
      <t>S/39.90</t>
    </r>
  </si>
  <si>
    <r>
      <t xml:space="preserve">CALZADO - ADIDAS (1) </t>
    </r>
    <r>
      <rPr>
        <b/>
        <sz val="11"/>
        <color rgb="FF000000"/>
        <rFont val="Arial"/>
        <family val="2"/>
        <scheme val="minor"/>
      </rPr>
      <t>S/149.00</t>
    </r>
  </si>
  <si>
    <r>
      <t xml:space="preserve">TEXTIL CASACA - MILK (1) </t>
    </r>
    <r>
      <rPr>
        <b/>
        <sz val="11"/>
        <color rgb="FF000000"/>
        <rFont val="Arial"/>
        <family val="2"/>
        <scheme val="minor"/>
      </rPr>
      <t>S/81.00</t>
    </r>
  </si>
  <si>
    <r>
      <t xml:space="preserve">TEXTIL POLO - PSYCHO BUNNY (2)                      </t>
    </r>
    <r>
      <rPr>
        <b/>
        <sz val="11"/>
        <color rgb="FF000000"/>
        <rFont val="Arial"/>
        <family val="2"/>
        <scheme val="minor"/>
      </rPr>
      <t>S/130.00</t>
    </r>
  </si>
  <si>
    <r>
      <t xml:space="preserve">OTROS - BILLETERA                   </t>
    </r>
    <r>
      <rPr>
        <b/>
        <sz val="11"/>
        <color rgb="FF000000"/>
        <rFont val="Arial"/>
        <family val="2"/>
        <scheme val="minor"/>
      </rPr>
      <t>S/14.00</t>
    </r>
  </si>
  <si>
    <r>
      <t xml:space="preserve">TEXTIL - POLAR                            </t>
    </r>
    <r>
      <rPr>
        <b/>
        <sz val="11"/>
        <color theme="1"/>
        <rFont val="Arial"/>
        <family val="2"/>
        <scheme val="minor"/>
      </rPr>
      <t>S/170.00</t>
    </r>
    <r>
      <rPr>
        <sz val="11"/>
        <color theme="1"/>
        <rFont val="Arial"/>
        <family val="2"/>
        <scheme val="minor"/>
      </rPr>
      <t xml:space="preserve"> </t>
    </r>
  </si>
  <si>
    <r>
      <t xml:space="preserve">CALZADO - ADIDAS (2)                    </t>
    </r>
    <r>
      <rPr>
        <b/>
        <sz val="11"/>
        <color theme="1"/>
        <rFont val="Arial"/>
        <family val="2"/>
        <scheme val="minor"/>
      </rPr>
      <t>S/159.00 + S/169.00</t>
    </r>
  </si>
  <si>
    <r>
      <t xml:space="preserve">CALZADO - UNDER ARMOUR (1)                                               </t>
    </r>
    <r>
      <rPr>
        <b/>
        <sz val="11"/>
        <color theme="1"/>
        <rFont val="Arial"/>
        <family val="2"/>
        <scheme val="minor"/>
      </rPr>
      <t>S/139.00</t>
    </r>
  </si>
  <si>
    <r>
      <t xml:space="preserve">TEXTIL - LACOSTE (1)                 </t>
    </r>
    <r>
      <rPr>
        <b/>
        <sz val="11"/>
        <color theme="1"/>
        <rFont val="Arial"/>
        <family val="2"/>
        <scheme val="minor"/>
      </rPr>
      <t>S/99.00</t>
    </r>
  </si>
  <si>
    <r>
      <t xml:space="preserve">TARJETA DE MEMORIA 128GH                         </t>
    </r>
    <r>
      <rPr>
        <b/>
        <sz val="11"/>
        <color rgb="FF000000"/>
        <rFont val="Arial"/>
        <family val="2"/>
        <scheme val="minor"/>
      </rPr>
      <t>S/38.00</t>
    </r>
  </si>
  <si>
    <r>
      <t xml:space="preserve">CALZADO - ADIDAS (1)                 </t>
    </r>
    <r>
      <rPr>
        <b/>
        <sz val="11"/>
        <color rgb="FF000000"/>
        <rFont val="Arial"/>
        <family val="2"/>
        <scheme val="minor"/>
      </rPr>
      <t>S/159.00</t>
    </r>
  </si>
  <si>
    <r>
      <t xml:space="preserve">TEXTIL - POLO BOSS (3)           </t>
    </r>
    <r>
      <rPr>
        <b/>
        <sz val="11"/>
        <color rgb="FF000000"/>
        <rFont val="Arial"/>
        <family val="2"/>
        <scheme val="minor"/>
      </rPr>
      <t>S/89.90 + S/79.00 + S/85.00</t>
    </r>
  </si>
  <si>
    <r>
      <t xml:space="preserve">CALZADO - ECKO (1) </t>
    </r>
    <r>
      <rPr>
        <b/>
        <sz val="11"/>
        <color rgb="FF000000"/>
        <rFont val="Arial"/>
        <family val="2"/>
        <scheme val="minor"/>
      </rPr>
      <t>S/109.00</t>
    </r>
  </si>
  <si>
    <r>
      <t xml:space="preserve">OTROS - PERFUME DIAVOLO EDT (1)                                </t>
    </r>
    <r>
      <rPr>
        <b/>
        <sz val="11"/>
        <color theme="1"/>
        <rFont val="Arial"/>
        <family val="2"/>
        <scheme val="minor"/>
      </rPr>
      <t>S/35.00</t>
    </r>
  </si>
  <si>
    <t>MAYO SEMANA 1</t>
  </si>
  <si>
    <t>MAYO SEMANA 2</t>
  </si>
  <si>
    <t>MAYO SEMANA 3</t>
  </si>
  <si>
    <t>MAYO SEMANA 4</t>
  </si>
  <si>
    <t>22 AL 31</t>
  </si>
  <si>
    <t>APOLO</t>
  </si>
  <si>
    <t>POLETA</t>
  </si>
  <si>
    <t>Del 01 al 30 Abril</t>
  </si>
  <si>
    <t xml:space="preserve">SEG CESAR RUIZ </t>
  </si>
  <si>
    <t>THE CALLISTO</t>
  </si>
  <si>
    <t>PANTALON</t>
  </si>
  <si>
    <t>ZONAL DAVID QUIJANO</t>
  </si>
  <si>
    <t xml:space="preserve">APACHE </t>
  </si>
  <si>
    <t xml:space="preserve">BARBADOS </t>
  </si>
  <si>
    <t>CONTEO DE CLIENTES SEGURIDAD - 01 AL 07 JUNIO 2026</t>
  </si>
  <si>
    <t>LUNES 01</t>
  </si>
  <si>
    <t>MARTES 02</t>
  </si>
  <si>
    <t>MIERCOLES 03</t>
  </si>
  <si>
    <t>JUEVES 04</t>
  </si>
  <si>
    <t>VIERNES 05</t>
  </si>
  <si>
    <t>SABADO 06</t>
  </si>
  <si>
    <t>DOMINGO 07</t>
  </si>
  <si>
    <t>SEG APOYO</t>
  </si>
  <si>
    <t xml:space="preserve">IBIZA </t>
  </si>
  <si>
    <t>SEG GUSTAVO RUIZ</t>
  </si>
  <si>
    <t>1 VARON</t>
  </si>
  <si>
    <t xml:space="preserve">DEL 01 AL 30 JUNIO </t>
  </si>
  <si>
    <t>CONTEO DE CLIENTES SEGURIDAD - 08 AL 14 JUNIO 2026</t>
  </si>
  <si>
    <t>LUNES 08</t>
  </si>
  <si>
    <t>MARTES 09</t>
  </si>
  <si>
    <t>MIERCOLES 10</t>
  </si>
  <si>
    <t>JUEVES 11</t>
  </si>
  <si>
    <t>VIERNES 12</t>
  </si>
  <si>
    <t>SABADO 13</t>
  </si>
  <si>
    <t>DOMINGO 14</t>
  </si>
  <si>
    <t xml:space="preserve">SEG TENORIO </t>
  </si>
  <si>
    <t>2 MUJERES</t>
  </si>
  <si>
    <t xml:space="preserve">FASHION </t>
  </si>
  <si>
    <t xml:space="preserve">SEG YULEYDI </t>
  </si>
  <si>
    <t>REEBOK</t>
  </si>
  <si>
    <t>0 MUJERES</t>
  </si>
  <si>
    <t>1 MUJERES</t>
  </si>
  <si>
    <t>TARJETA DE MEMORIA 250 GH</t>
  </si>
  <si>
    <t>CONTEO DE CLIENTES SEGURIDAD - 15 AL 21 JUNIO 2026</t>
  </si>
  <si>
    <t>LUNES 15</t>
  </si>
  <si>
    <t>MARTES 16</t>
  </si>
  <si>
    <t>MIERCOLES 17</t>
  </si>
  <si>
    <t>JUEVES 18</t>
  </si>
  <si>
    <t>VIERNES 19</t>
  </si>
  <si>
    <t>SABADO 20</t>
  </si>
  <si>
    <t>DOMINGO 21</t>
  </si>
  <si>
    <t>CONTEO DE CLIENTES SEGURIDAD - 22 AL 28 JUNIO 2026</t>
  </si>
  <si>
    <t>LUNES 22</t>
  </si>
  <si>
    <t>MARTES 23</t>
  </si>
  <si>
    <t>MIERCOLES 24</t>
  </si>
  <si>
    <t>JUEVES 25</t>
  </si>
  <si>
    <t>VIERNES 26</t>
  </si>
  <si>
    <t>SABADO 27</t>
  </si>
  <si>
    <t>DOMINGO 28</t>
  </si>
  <si>
    <t>CONTEO DE CLIENTES SEGURIDAD - 29 DE JUNIO AL 05 JULIO 2026</t>
  </si>
  <si>
    <t>LUNES 29</t>
  </si>
  <si>
    <t>MARTES 30</t>
  </si>
  <si>
    <t>SEG</t>
  </si>
  <si>
    <t xml:space="preserve">1 MUJER </t>
  </si>
  <si>
    <t>REEBOOK</t>
  </si>
  <si>
    <t>VANS</t>
  </si>
  <si>
    <t xml:space="preserve">CADENA </t>
  </si>
  <si>
    <t xml:space="preserve">CORTA UÑAS </t>
  </si>
  <si>
    <t>CALLISTO</t>
  </si>
  <si>
    <t>CAT</t>
  </si>
  <si>
    <t xml:space="preserve">CATERPILLAR </t>
  </si>
  <si>
    <t xml:space="preserve">KARLL LAGERFELD </t>
  </si>
  <si>
    <t xml:space="preserve">CAMBIO DE PRECIO </t>
  </si>
  <si>
    <t xml:space="preserve">CAJERA </t>
  </si>
  <si>
    <t xml:space="preserve">CARTUCHERA </t>
  </si>
  <si>
    <t xml:space="preserve">FOLLOW YOUR DREAMS </t>
  </si>
  <si>
    <t xml:space="preserve">01 MUJER </t>
  </si>
  <si>
    <t xml:space="preserve">VENDEDORA ZOILA CERVANTES </t>
  </si>
  <si>
    <t xml:space="preserve">JOGGER CABALLERO </t>
  </si>
  <si>
    <t xml:space="preserve">MARVEL </t>
  </si>
  <si>
    <t xml:space="preserve">DEL 01 AL 31 JULIO </t>
  </si>
  <si>
    <t xml:space="preserve">AURICULARES INALAMBRICO </t>
  </si>
  <si>
    <t>CONTEO DE CLIENTES SEGURIDAD - 06 AL 12 DE JULIO 2026</t>
  </si>
  <si>
    <t xml:space="preserve">SEG RICHARD </t>
  </si>
  <si>
    <t>CONTEO DE CLIENTES SEGURIDAD - 13 AL 19 DE JULIO 2026</t>
  </si>
  <si>
    <t xml:space="preserve">POLERA DAMA </t>
  </si>
  <si>
    <t xml:space="preserve">ASISTENTA CLAUDIA </t>
  </si>
  <si>
    <t xml:space="preserve">CABLE PARA CELULAR </t>
  </si>
  <si>
    <t xml:space="preserve">ANSTY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</si>
</sst>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S/&quot;\ #,##0.00;[Red]\-&quot;S/&quot;\ #,##0.00"/>
    <numFmt numFmtId="164" formatCode="_-* #,##0.00_-;\-* #,##0.00_-;_-* &quot;-&quot;??_-;_-@"/>
    <numFmt numFmtId="165" formatCode="_-* #,##0.0_-;\-* #,##0.0_-;_-* &quot;-&quot;??_-;_-@"/>
  </numFmts>
  <fonts count="28" x14ac:knownFonts="1">
    <font>
      <sz val="11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rgb="FFFFFFFF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3"/>
      <color rgb="FFED0000"/>
      <name val="Calibri"/>
      <family val="2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Arial"/>
      <family val="2"/>
      <scheme val="minor"/>
    </font>
    <font>
      <b/>
      <u/>
      <sz val="11"/>
      <color theme="1"/>
      <name val="Calibri"/>
      <family val="2"/>
    </font>
    <font>
      <b/>
      <sz val="11"/>
      <color theme="1"/>
      <name val="Arial"/>
      <family val="2"/>
      <scheme val="major"/>
    </font>
    <font>
      <b/>
      <sz val="11"/>
      <color rgb="FFFFFFFF"/>
      <name val="Calibri"/>
      <family val="2"/>
    </font>
    <font>
      <b/>
      <sz val="11"/>
      <color rgb="FF000000"/>
      <name val="Arial"/>
      <family val="2"/>
      <scheme val="major"/>
    </font>
    <font>
      <b/>
      <sz val="11"/>
      <color rgb="FF000000"/>
      <name val="Calibri"/>
      <family val="2"/>
    </font>
    <font>
      <b/>
      <sz val="9"/>
      <color indexed="81"/>
      <name val="Tahoma"/>
      <family val="2"/>
    </font>
    <font>
      <b/>
      <sz val="11"/>
      <color rgb="FF7030A0"/>
      <name val="Calibri"/>
      <family val="2"/>
    </font>
    <font>
      <sz val="11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4A86E8"/>
      </patternFill>
    </fill>
    <fill>
      <patternFill patternType="solid">
        <fgColor theme="4" tint="0.79998168889431442"/>
        <bgColor rgb="FFFF0000"/>
      </patternFill>
    </fill>
    <fill>
      <patternFill patternType="solid">
        <fgColor theme="4" tint="0.79998168889431442"/>
        <bgColor rgb="FFFFFF00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F0000"/>
      </patternFill>
    </fill>
    <fill>
      <patternFill patternType="solid">
        <fgColor theme="4" tint="0.59999389629810485"/>
        <bgColor rgb="FF00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rgb="FF00FF00"/>
      </patternFill>
    </fill>
    <fill>
      <patternFill patternType="solid">
        <fgColor rgb="FFFF0000"/>
        <bgColor rgb="FFFFFF00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rgb="FFDBE5F1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1">
    <xf numFmtId="0" fontId="0" fillId="0" borderId="0" xfId="0" applyFont="1" applyAlignment="1"/>
    <xf numFmtId="0" fontId="3" fillId="0" borderId="0" xfId="0" applyFont="1" applyAlignment="1">
      <alignment horizontal="left"/>
    </xf>
    <xf numFmtId="0" fontId="3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7" xfId="0" applyFont="1" applyBorder="1"/>
    <xf numFmtId="0" fontId="7" fillId="0" borderId="0" xfId="0" applyFont="1" applyAlignment="1">
      <alignment horizontal="right"/>
    </xf>
    <xf numFmtId="0" fontId="3" fillId="0" borderId="7" xfId="0" applyFont="1" applyBorder="1"/>
    <xf numFmtId="0" fontId="3" fillId="0" borderId="10" xfId="0" applyFont="1" applyBorder="1"/>
    <xf numFmtId="0" fontId="7" fillId="0" borderId="11" xfId="0" applyFont="1" applyBorder="1"/>
    <xf numFmtId="0" fontId="7" fillId="0" borderId="12" xfId="0" applyFont="1" applyBorder="1" applyAlignment="1">
      <alignment horizontal="right"/>
    </xf>
    <xf numFmtId="0" fontId="7" fillId="0" borderId="12" xfId="0" applyFont="1" applyBorder="1"/>
    <xf numFmtId="0" fontId="7" fillId="0" borderId="0" xfId="0" applyFont="1"/>
    <xf numFmtId="0" fontId="7" fillId="0" borderId="13" xfId="0" applyFont="1" applyBorder="1" applyAlignment="1">
      <alignment horizontal="right"/>
    </xf>
    <xf numFmtId="0" fontId="7" fillId="0" borderId="10" xfId="0" applyFont="1" applyBorder="1"/>
    <xf numFmtId="0" fontId="7" fillId="0" borderId="14" xfId="0" applyFont="1" applyBorder="1"/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3" fillId="0" borderId="23" xfId="0" applyFont="1" applyBorder="1"/>
    <xf numFmtId="0" fontId="3" fillId="0" borderId="1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3" xfId="0" applyFont="1" applyBorder="1"/>
    <xf numFmtId="0" fontId="3" fillId="0" borderId="26" xfId="0" applyFont="1" applyBorder="1"/>
    <xf numFmtId="0" fontId="3" fillId="0" borderId="14" xfId="0" applyFont="1" applyBorder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2" fontId="13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  <xf numFmtId="0" fontId="0" fillId="0" borderId="27" xfId="0" applyFont="1" applyBorder="1" applyAlignment="1"/>
    <xf numFmtId="0" fontId="4" fillId="0" borderId="27" xfId="0" applyFont="1" applyBorder="1"/>
    <xf numFmtId="0" fontId="5" fillId="0" borderId="27" xfId="0" applyFont="1" applyBorder="1"/>
    <xf numFmtId="0" fontId="14" fillId="0" borderId="27" xfId="0" applyFont="1" applyBorder="1" applyAlignment="1"/>
    <xf numFmtId="0" fontId="14" fillId="0" borderId="27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13" fillId="0" borderId="27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2" fontId="13" fillId="0" borderId="27" xfId="0" applyNumberFormat="1" applyFont="1" applyBorder="1" applyAlignment="1">
      <alignment horizontal="center"/>
    </xf>
    <xf numFmtId="2" fontId="16" fillId="0" borderId="27" xfId="0" applyNumberFormat="1" applyFont="1" applyBorder="1" applyAlignment="1">
      <alignment horizontal="center"/>
    </xf>
    <xf numFmtId="0" fontId="17" fillId="0" borderId="27" xfId="0" applyFont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12" fillId="0" borderId="0" xfId="0" applyFont="1"/>
    <xf numFmtId="0" fontId="14" fillId="0" borderId="0" xfId="0" applyFont="1" applyAlignment="1"/>
    <xf numFmtId="0" fontId="16" fillId="0" borderId="0" xfId="0" applyFont="1"/>
    <xf numFmtId="0" fontId="16" fillId="0" borderId="1" xfId="0" applyFont="1" applyBorder="1" applyAlignment="1">
      <alignment vertical="center"/>
    </xf>
    <xf numFmtId="0" fontId="18" fillId="0" borderId="0" xfId="0" applyFont="1" applyAlignment="1"/>
    <xf numFmtId="2" fontId="17" fillId="0" borderId="27" xfId="0" applyNumberFormat="1" applyFont="1" applyBorder="1" applyAlignment="1">
      <alignment horizontal="center"/>
    </xf>
    <xf numFmtId="0" fontId="17" fillId="0" borderId="27" xfId="0" applyFont="1" applyBorder="1" applyAlignment="1">
      <alignment horizontal="left"/>
    </xf>
    <xf numFmtId="0" fontId="18" fillId="0" borderId="28" xfId="0" applyFont="1" applyBorder="1" applyAlignment="1">
      <alignment horizontal="center"/>
    </xf>
    <xf numFmtId="0" fontId="17" fillId="0" borderId="29" xfId="0" applyFont="1" applyBorder="1"/>
    <xf numFmtId="0" fontId="19" fillId="0" borderId="29" xfId="0" applyFont="1" applyBorder="1" applyAlignment="1"/>
    <xf numFmtId="0" fontId="18" fillId="0" borderId="29" xfId="0" applyFont="1" applyBorder="1" applyAlignment="1">
      <alignment horizontal="center"/>
    </xf>
    <xf numFmtId="0" fontId="19" fillId="0" borderId="28" xfId="0" applyFont="1" applyBorder="1" applyAlignment="1"/>
    <xf numFmtId="0" fontId="19" fillId="0" borderId="27" xfId="0" applyFont="1" applyBorder="1" applyAlignment="1"/>
    <xf numFmtId="0" fontId="13" fillId="0" borderId="27" xfId="0" applyFont="1" applyBorder="1"/>
    <xf numFmtId="0" fontId="18" fillId="0" borderId="27" xfId="0" applyFont="1" applyBorder="1" applyAlignment="1">
      <alignment horizontal="center"/>
    </xf>
    <xf numFmtId="0" fontId="5" fillId="4" borderId="27" xfId="0" applyFont="1" applyFill="1" applyBorder="1"/>
    <xf numFmtId="0" fontId="13" fillId="4" borderId="27" xfId="0" applyFont="1" applyFill="1" applyBorder="1"/>
    <xf numFmtId="0" fontId="13" fillId="4" borderId="27" xfId="0" applyFont="1" applyFill="1" applyBorder="1" applyAlignment="1">
      <alignment horizontal="center"/>
    </xf>
    <xf numFmtId="2" fontId="13" fillId="4" borderId="27" xfId="0" applyNumberFormat="1" applyFont="1" applyFill="1" applyBorder="1" applyAlignment="1">
      <alignment horizontal="center"/>
    </xf>
    <xf numFmtId="0" fontId="0" fillId="4" borderId="0" xfId="0" applyFont="1" applyFill="1" applyAlignment="1"/>
    <xf numFmtId="0" fontId="5" fillId="5" borderId="27" xfId="0" applyFont="1" applyFill="1" applyBorder="1"/>
    <xf numFmtId="0" fontId="13" fillId="5" borderId="27" xfId="0" applyFont="1" applyFill="1" applyBorder="1"/>
    <xf numFmtId="0" fontId="13" fillId="5" borderId="27" xfId="0" applyFont="1" applyFill="1" applyBorder="1" applyAlignment="1">
      <alignment horizontal="center"/>
    </xf>
    <xf numFmtId="2" fontId="13" fillId="5" borderId="27" xfId="0" applyNumberFormat="1" applyFont="1" applyFill="1" applyBorder="1" applyAlignment="1">
      <alignment horizontal="center"/>
    </xf>
    <xf numFmtId="0" fontId="5" fillId="6" borderId="27" xfId="0" applyFont="1" applyFill="1" applyBorder="1"/>
    <xf numFmtId="0" fontId="13" fillId="6" borderId="27" xfId="0" applyFont="1" applyFill="1" applyBorder="1"/>
    <xf numFmtId="0" fontId="13" fillId="6" borderId="27" xfId="0" applyFont="1" applyFill="1" applyBorder="1" applyAlignment="1">
      <alignment horizontal="center"/>
    </xf>
    <xf numFmtId="2" fontId="13" fillId="6" borderId="27" xfId="0" applyNumberFormat="1" applyFont="1" applyFill="1" applyBorder="1" applyAlignment="1">
      <alignment horizontal="center"/>
    </xf>
    <xf numFmtId="0" fontId="3" fillId="5" borderId="27" xfId="0" applyFont="1" applyFill="1" applyBorder="1"/>
    <xf numFmtId="0" fontId="5" fillId="7" borderId="27" xfId="0" applyFont="1" applyFill="1" applyBorder="1"/>
    <xf numFmtId="0" fontId="13" fillId="7" borderId="27" xfId="0" applyFont="1" applyFill="1" applyBorder="1"/>
    <xf numFmtId="0" fontId="13" fillId="7" borderId="27" xfId="0" applyFont="1" applyFill="1" applyBorder="1" applyAlignment="1">
      <alignment horizontal="center"/>
    </xf>
    <xf numFmtId="2" fontId="13" fillId="7" borderId="27" xfId="0" applyNumberFormat="1" applyFont="1" applyFill="1" applyBorder="1" applyAlignment="1">
      <alignment horizontal="center"/>
    </xf>
    <xf numFmtId="0" fontId="5" fillId="8" borderId="27" xfId="0" applyFont="1" applyFill="1" applyBorder="1"/>
    <xf numFmtId="0" fontId="13" fillId="8" borderId="27" xfId="0" applyFont="1" applyFill="1" applyBorder="1"/>
    <xf numFmtId="0" fontId="13" fillId="8" borderId="27" xfId="0" applyFont="1" applyFill="1" applyBorder="1" applyAlignment="1">
      <alignment horizontal="center"/>
    </xf>
    <xf numFmtId="2" fontId="13" fillId="8" borderId="27" xfId="0" applyNumberFormat="1" applyFont="1" applyFill="1" applyBorder="1" applyAlignment="1">
      <alignment horizontal="center"/>
    </xf>
    <xf numFmtId="0" fontId="0" fillId="9" borderId="0" xfId="0" applyFont="1" applyFill="1" applyAlignment="1"/>
    <xf numFmtId="0" fontId="5" fillId="10" borderId="27" xfId="0" applyFont="1" applyFill="1" applyBorder="1"/>
    <xf numFmtId="0" fontId="13" fillId="10" borderId="27" xfId="0" applyFont="1" applyFill="1" applyBorder="1"/>
    <xf numFmtId="0" fontId="13" fillId="10" borderId="27" xfId="0" applyFont="1" applyFill="1" applyBorder="1" applyAlignment="1">
      <alignment horizontal="center"/>
    </xf>
    <xf numFmtId="2" fontId="13" fillId="10" borderId="27" xfId="0" applyNumberFormat="1" applyFont="1" applyFill="1" applyBorder="1" applyAlignment="1">
      <alignment horizontal="center"/>
    </xf>
    <xf numFmtId="0" fontId="3" fillId="8" borderId="27" xfId="0" applyFont="1" applyFill="1" applyBorder="1"/>
    <xf numFmtId="0" fontId="5" fillId="11" borderId="27" xfId="0" applyFont="1" applyFill="1" applyBorder="1"/>
    <xf numFmtId="0" fontId="13" fillId="11" borderId="27" xfId="0" applyFont="1" applyFill="1" applyBorder="1"/>
    <xf numFmtId="0" fontId="13" fillId="11" borderId="27" xfId="0" applyFont="1" applyFill="1" applyBorder="1" applyAlignment="1">
      <alignment horizontal="center"/>
    </xf>
    <xf numFmtId="2" fontId="13" fillId="11" borderId="27" xfId="0" applyNumberFormat="1" applyFont="1" applyFill="1" applyBorder="1" applyAlignment="1">
      <alignment horizontal="center"/>
    </xf>
    <xf numFmtId="0" fontId="21" fillId="4" borderId="27" xfId="0" applyFont="1" applyFill="1" applyBorder="1" applyAlignment="1">
      <alignment horizontal="center"/>
    </xf>
    <xf numFmtId="0" fontId="0" fillId="0" borderId="30" xfId="0" applyFont="1" applyBorder="1" applyAlignment="1"/>
    <xf numFmtId="0" fontId="0" fillId="0" borderId="0" xfId="0" applyFont="1" applyAlignment="1"/>
    <xf numFmtId="0" fontId="7" fillId="0" borderId="27" xfId="0" applyFont="1" applyBorder="1"/>
    <xf numFmtId="0" fontId="7" fillId="0" borderId="27" xfId="0" applyFont="1" applyBorder="1" applyAlignment="1">
      <alignment horizontal="center"/>
    </xf>
    <xf numFmtId="2" fontId="7" fillId="0" borderId="27" xfId="0" applyNumberFormat="1" applyFont="1" applyBorder="1" applyAlignment="1">
      <alignment horizontal="center"/>
    </xf>
    <xf numFmtId="0" fontId="0" fillId="0" borderId="0" xfId="0" applyFont="1" applyAlignment="1"/>
    <xf numFmtId="0" fontId="7" fillId="4" borderId="27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4" fillId="15" borderId="31" xfId="0" applyFont="1" applyFill="1" applyBorder="1" applyAlignment="1">
      <alignment horizontal="center" vertical="center" wrapText="1"/>
    </xf>
    <xf numFmtId="0" fontId="14" fillId="16" borderId="31" xfId="0" applyFont="1" applyFill="1" applyBorder="1" applyAlignment="1">
      <alignment horizontal="center" vertical="center" wrapText="1"/>
    </xf>
    <xf numFmtId="0" fontId="14" fillId="17" borderId="31" xfId="0" applyFont="1" applyFill="1" applyBorder="1" applyAlignment="1">
      <alignment horizontal="center" vertical="center" wrapText="1"/>
    </xf>
    <xf numFmtId="0" fontId="14" fillId="18" borderId="31" xfId="0" applyFont="1" applyFill="1" applyBorder="1" applyAlignment="1">
      <alignment horizontal="center" vertical="center" wrapText="1"/>
    </xf>
    <xf numFmtId="0" fontId="14" fillId="17" borderId="32" xfId="0" applyFont="1" applyFill="1" applyBorder="1" applyAlignment="1">
      <alignment horizontal="center" vertical="center" wrapText="1"/>
    </xf>
    <xf numFmtId="0" fontId="0" fillId="0" borderId="0" xfId="0"/>
    <xf numFmtId="0" fontId="22" fillId="19" borderId="32" xfId="0" applyFont="1" applyFill="1" applyBorder="1" applyAlignment="1">
      <alignment horizontal="center" vertical="center" wrapText="1"/>
    </xf>
    <xf numFmtId="0" fontId="22" fillId="20" borderId="31" xfId="0" applyFont="1" applyFill="1" applyBorder="1" applyAlignment="1">
      <alignment horizontal="center" vertical="center" wrapText="1"/>
    </xf>
    <xf numFmtId="0" fontId="22" fillId="21" borderId="31" xfId="0" applyFont="1" applyFill="1" applyBorder="1" applyAlignment="1">
      <alignment horizontal="center" vertical="center" wrapText="1"/>
    </xf>
    <xf numFmtId="8" fontId="0" fillId="19" borderId="32" xfId="0" applyNumberFormat="1" applyFill="1" applyBorder="1" applyAlignment="1">
      <alignment horizontal="center" vertical="center" wrapText="1"/>
    </xf>
    <xf numFmtId="8" fontId="0" fillId="20" borderId="33" xfId="0" applyNumberFormat="1" applyFill="1" applyBorder="1" applyAlignment="1">
      <alignment horizontal="center" vertical="center" wrapText="1"/>
    </xf>
    <xf numFmtId="8" fontId="0" fillId="21" borderId="32" xfId="0" applyNumberFormat="1" applyFill="1" applyBorder="1" applyAlignment="1">
      <alignment horizontal="center" vertical="center" wrapText="1"/>
    </xf>
    <xf numFmtId="0" fontId="22" fillId="19" borderId="34" xfId="0" applyFont="1" applyFill="1" applyBorder="1" applyAlignment="1">
      <alignment horizontal="center" vertical="center" wrapText="1"/>
    </xf>
    <xf numFmtId="8" fontId="0" fillId="19" borderId="34" xfId="0" applyNumberFormat="1" applyFill="1" applyBorder="1" applyAlignment="1">
      <alignment horizontal="center" vertical="center" wrapText="1"/>
    </xf>
    <xf numFmtId="8" fontId="0" fillId="20" borderId="35" xfId="0" applyNumberFormat="1" applyFill="1" applyBorder="1" applyAlignment="1">
      <alignment horizontal="center" vertical="center" wrapText="1"/>
    </xf>
    <xf numFmtId="0" fontId="0" fillId="21" borderId="34" xfId="0" applyFill="1" applyBorder="1" applyAlignment="1">
      <alignment horizontal="center" vertical="center" wrapText="1"/>
    </xf>
    <xf numFmtId="0" fontId="22" fillId="19" borderId="36" xfId="0" applyFont="1" applyFill="1" applyBorder="1" applyAlignment="1">
      <alignment horizontal="center" vertical="center" wrapText="1"/>
    </xf>
    <xf numFmtId="0" fontId="14" fillId="20" borderId="31" xfId="0" applyFont="1" applyFill="1" applyBorder="1" applyAlignment="1">
      <alignment horizontal="center" vertical="center" wrapText="1"/>
    </xf>
    <xf numFmtId="0" fontId="14" fillId="19" borderId="32" xfId="0" applyFont="1" applyFill="1" applyBorder="1" applyAlignment="1">
      <alignment horizontal="center" vertical="center" wrapText="1"/>
    </xf>
    <xf numFmtId="0" fontId="22" fillId="19" borderId="31" xfId="0" applyFont="1" applyFill="1" applyBorder="1" applyAlignment="1">
      <alignment horizontal="center" vertical="center" wrapText="1"/>
    </xf>
    <xf numFmtId="8" fontId="22" fillId="19" borderId="34" xfId="0" applyNumberFormat="1" applyFont="1" applyFill="1" applyBorder="1" applyAlignment="1">
      <alignment horizontal="center" vertical="center" wrapText="1"/>
    </xf>
    <xf numFmtId="0" fontId="22" fillId="20" borderId="36" xfId="0" applyFont="1" applyFill="1" applyBorder="1" applyAlignment="1">
      <alignment horizontal="center" vertical="center" wrapText="1"/>
    </xf>
    <xf numFmtId="8" fontId="0" fillId="19" borderId="36" xfId="0" applyNumberFormat="1" applyFill="1" applyBorder="1" applyAlignment="1">
      <alignment horizontal="center" vertical="center" wrapText="1"/>
    </xf>
    <xf numFmtId="8" fontId="0" fillId="20" borderId="37" xfId="0" applyNumberFormat="1" applyFill="1" applyBorder="1" applyAlignment="1">
      <alignment horizontal="center" vertical="center" wrapText="1"/>
    </xf>
    <xf numFmtId="0" fontId="0" fillId="21" borderId="36" xfId="0" applyFill="1" applyBorder="1" applyAlignment="1">
      <alignment horizontal="center" vertical="center" wrapText="1"/>
    </xf>
    <xf numFmtId="0" fontId="6" fillId="15" borderId="36" xfId="0" applyFont="1" applyFill="1" applyBorder="1" applyAlignment="1">
      <alignment horizontal="center" vertical="center" wrapText="1"/>
    </xf>
    <xf numFmtId="0" fontId="6" fillId="15" borderId="31" xfId="0" applyFont="1" applyFill="1" applyBorder="1" applyAlignment="1">
      <alignment horizontal="center" vertical="center" wrapText="1"/>
    </xf>
    <xf numFmtId="0" fontId="6" fillId="15" borderId="0" xfId="0" applyFont="1" applyFill="1" applyAlignment="1">
      <alignment horizontal="center" vertical="center" wrapText="1"/>
    </xf>
    <xf numFmtId="0" fontId="14" fillId="19" borderId="31" xfId="0" applyFont="1" applyFill="1" applyBorder="1" applyAlignment="1">
      <alignment horizontal="center" vertical="center" wrapText="1"/>
    </xf>
    <xf numFmtId="0" fontId="0" fillId="14" borderId="32" xfId="0" applyFill="1" applyBorder="1" applyAlignment="1">
      <alignment horizontal="center" vertical="center" wrapText="1"/>
    </xf>
    <xf numFmtId="0" fontId="0" fillId="14" borderId="34" xfId="0" applyFill="1" applyBorder="1" applyAlignment="1">
      <alignment horizontal="center" vertical="center" wrapText="1"/>
    </xf>
    <xf numFmtId="0" fontId="0" fillId="14" borderId="36" xfId="0" applyFill="1" applyBorder="1" applyAlignment="1">
      <alignment horizontal="center" vertical="center" wrapText="1"/>
    </xf>
    <xf numFmtId="0" fontId="0" fillId="22" borderId="32" xfId="0" applyFill="1" applyBorder="1" applyAlignment="1">
      <alignment horizontal="center" vertical="center" wrapText="1"/>
    </xf>
    <xf numFmtId="0" fontId="14" fillId="20" borderId="32" xfId="0" applyFont="1" applyFill="1" applyBorder="1" applyAlignment="1">
      <alignment horizontal="center" vertical="center" wrapText="1"/>
    </xf>
    <xf numFmtId="0" fontId="14" fillId="22" borderId="32" xfId="0" applyFont="1" applyFill="1" applyBorder="1" applyAlignment="1">
      <alignment horizontal="center" vertical="center" wrapText="1"/>
    </xf>
    <xf numFmtId="0" fontId="14" fillId="14" borderId="32" xfId="0" applyFont="1" applyFill="1" applyBorder="1" applyAlignment="1">
      <alignment horizontal="center" vertical="center" wrapText="1"/>
    </xf>
    <xf numFmtId="0" fontId="14" fillId="22" borderId="34" xfId="0" applyFont="1" applyFill="1" applyBorder="1" applyAlignment="1">
      <alignment horizontal="center" vertical="center" wrapText="1"/>
    </xf>
    <xf numFmtId="0" fontId="14" fillId="14" borderId="34" xfId="0" applyFont="1" applyFill="1" applyBorder="1" applyAlignment="1">
      <alignment horizontal="center" vertical="center" wrapText="1"/>
    </xf>
    <xf numFmtId="0" fontId="14" fillId="20" borderId="40" xfId="0" applyFont="1" applyFill="1" applyBorder="1" applyAlignment="1">
      <alignment horizontal="center" vertical="center" wrapText="1"/>
    </xf>
    <xf numFmtId="0" fontId="14" fillId="20" borderId="34" xfId="0" applyFont="1" applyFill="1" applyBorder="1" applyAlignment="1">
      <alignment horizontal="center" vertical="center" wrapText="1"/>
    </xf>
    <xf numFmtId="0" fontId="14" fillId="21" borderId="31" xfId="0" applyFont="1" applyFill="1" applyBorder="1" applyAlignment="1">
      <alignment horizontal="center" vertical="center" wrapText="1"/>
    </xf>
    <xf numFmtId="0" fontId="22" fillId="20" borderId="34" xfId="0" applyFont="1" applyFill="1" applyBorder="1" applyAlignment="1">
      <alignment horizontal="center" vertical="center" wrapText="1"/>
    </xf>
    <xf numFmtId="0" fontId="14" fillId="19" borderId="36" xfId="0" applyFont="1" applyFill="1" applyBorder="1" applyAlignment="1">
      <alignment horizontal="center" vertical="center" wrapText="1"/>
    </xf>
    <xf numFmtId="0" fontId="14" fillId="14" borderId="36" xfId="0" applyFont="1" applyFill="1" applyBorder="1" applyAlignment="1">
      <alignment horizontal="center" vertical="center" wrapText="1"/>
    </xf>
    <xf numFmtId="0" fontId="22" fillId="14" borderId="31" xfId="0" applyFont="1" applyFill="1" applyBorder="1" applyAlignment="1">
      <alignment horizontal="center" vertical="center" wrapText="1"/>
    </xf>
    <xf numFmtId="0" fontId="0" fillId="14" borderId="31" xfId="0" applyFill="1" applyBorder="1" applyAlignment="1">
      <alignment horizontal="center" vertical="center" wrapText="1"/>
    </xf>
    <xf numFmtId="0" fontId="14" fillId="19" borderId="40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14" fillId="0" borderId="0" xfId="0" applyFont="1" applyAlignment="1"/>
    <xf numFmtId="0" fontId="14" fillId="0" borderId="0" xfId="0" applyFont="1" applyAlignment="1"/>
    <xf numFmtId="0" fontId="0" fillId="0" borderId="0" xfId="0" applyFont="1" applyAlignment="1"/>
    <xf numFmtId="0" fontId="7" fillId="23" borderId="27" xfId="0" applyFont="1" applyFill="1" applyBorder="1" applyAlignment="1">
      <alignment horizontal="center"/>
    </xf>
    <xf numFmtId="0" fontId="13" fillId="23" borderId="27" xfId="0" applyFont="1" applyFill="1" applyBorder="1" applyAlignment="1">
      <alignment horizontal="center"/>
    </xf>
    <xf numFmtId="0" fontId="13" fillId="24" borderId="27" xfId="0" applyFont="1" applyFill="1" applyBorder="1" applyAlignment="1">
      <alignment horizontal="center"/>
    </xf>
    <xf numFmtId="0" fontId="13" fillId="25" borderId="27" xfId="0" applyFont="1" applyFill="1" applyBorder="1" applyAlignment="1">
      <alignment horizontal="center"/>
    </xf>
    <xf numFmtId="0" fontId="13" fillId="26" borderId="27" xfId="0" applyFont="1" applyFill="1" applyBorder="1" applyAlignment="1">
      <alignment horizontal="center"/>
    </xf>
    <xf numFmtId="0" fontId="13" fillId="27" borderId="27" xfId="0" applyFont="1" applyFill="1" applyBorder="1" applyAlignment="1">
      <alignment horizontal="center"/>
    </xf>
    <xf numFmtId="0" fontId="14" fillId="0" borderId="0" xfId="0" applyFont="1" applyAlignment="1"/>
    <xf numFmtId="0" fontId="0" fillId="14" borderId="0" xfId="0" applyFill="1" applyAlignment="1">
      <alignment horizontal="center" vertical="center" wrapText="1"/>
    </xf>
    <xf numFmtId="0" fontId="0" fillId="14" borderId="0" xfId="0" applyFill="1"/>
    <xf numFmtId="0" fontId="0" fillId="14" borderId="0" xfId="0" applyFill="1" applyAlignment="1">
      <alignment horizontal="center" vertical="center"/>
    </xf>
    <xf numFmtId="0" fontId="2" fillId="19" borderId="32" xfId="0" applyFont="1" applyFill="1" applyBorder="1" applyAlignment="1">
      <alignment horizontal="center" vertical="center" wrapText="1"/>
    </xf>
    <xf numFmtId="0" fontId="2" fillId="20" borderId="31" xfId="0" applyFont="1" applyFill="1" applyBorder="1" applyAlignment="1">
      <alignment horizontal="center" vertical="center" wrapText="1"/>
    </xf>
    <xf numFmtId="0" fontId="22" fillId="19" borderId="43" xfId="0" applyFont="1" applyFill="1" applyBorder="1" applyAlignment="1">
      <alignment horizontal="center" vertical="center"/>
    </xf>
    <xf numFmtId="4" fontId="0" fillId="19" borderId="40" xfId="0" applyNumberFormat="1" applyFill="1" applyBorder="1" applyAlignment="1">
      <alignment horizontal="center" vertical="center" wrapText="1"/>
    </xf>
    <xf numFmtId="0" fontId="2" fillId="20" borderId="32" xfId="0" applyFont="1" applyFill="1" applyBorder="1" applyAlignment="1">
      <alignment horizontal="center" vertical="center" wrapText="1"/>
    </xf>
    <xf numFmtId="0" fontId="22" fillId="20" borderId="43" xfId="0" applyFont="1" applyFill="1" applyBorder="1" applyAlignment="1">
      <alignment horizontal="center" vertical="center"/>
    </xf>
    <xf numFmtId="8" fontId="0" fillId="20" borderId="40" xfId="0" applyNumberFormat="1" applyFill="1" applyBorder="1" applyAlignment="1">
      <alignment horizontal="center" vertical="center" wrapText="1"/>
    </xf>
    <xf numFmtId="0" fontId="2" fillId="19" borderId="34" xfId="0" applyFont="1" applyFill="1" applyBorder="1" applyAlignment="1">
      <alignment horizontal="center" vertical="center" wrapText="1"/>
    </xf>
    <xf numFmtId="0" fontId="22" fillId="21" borderId="33" xfId="0" applyFont="1" applyFill="1" applyBorder="1" applyAlignment="1">
      <alignment horizontal="center" vertical="center"/>
    </xf>
    <xf numFmtId="8" fontId="0" fillId="21" borderId="41" xfId="0" applyNumberFormat="1" applyFill="1" applyBorder="1" applyAlignment="1">
      <alignment horizontal="center" vertical="center" wrapText="1"/>
    </xf>
    <xf numFmtId="0" fontId="22" fillId="19" borderId="33" xfId="0" applyFont="1" applyFill="1" applyBorder="1" applyAlignment="1">
      <alignment horizontal="center" vertical="center"/>
    </xf>
    <xf numFmtId="8" fontId="0" fillId="19" borderId="41" xfId="0" applyNumberFormat="1" applyFill="1" applyBorder="1" applyAlignment="1">
      <alignment horizontal="center" vertical="center"/>
    </xf>
    <xf numFmtId="0" fontId="22" fillId="20" borderId="37" xfId="0" applyFont="1" applyFill="1" applyBorder="1" applyAlignment="1">
      <alignment horizontal="center" vertical="center"/>
    </xf>
    <xf numFmtId="8" fontId="0" fillId="20" borderId="39" xfId="0" applyNumberFormat="1" applyFill="1" applyBorder="1" applyAlignment="1">
      <alignment horizontal="center" vertical="center"/>
    </xf>
    <xf numFmtId="0" fontId="2" fillId="19" borderId="31" xfId="0" applyFont="1" applyFill="1" applyBorder="1" applyAlignment="1">
      <alignment horizontal="center" vertical="center" wrapText="1"/>
    </xf>
    <xf numFmtId="0" fontId="22" fillId="14" borderId="0" xfId="0" applyFont="1" applyFill="1" applyAlignment="1">
      <alignment horizontal="center" vertical="center" wrapText="1"/>
    </xf>
    <xf numFmtId="4" fontId="24" fillId="18" borderId="31" xfId="0" applyNumberFormat="1" applyFont="1" applyFill="1" applyBorder="1" applyAlignment="1">
      <alignment horizontal="center" vertical="center" wrapText="1"/>
    </xf>
    <xf numFmtId="8" fontId="24" fillId="16" borderId="31" xfId="0" applyNumberFormat="1" applyFont="1" applyFill="1" applyBorder="1" applyAlignment="1">
      <alignment horizontal="center" vertical="center" wrapText="1"/>
    </xf>
    <xf numFmtId="8" fontId="0" fillId="20" borderId="32" xfId="0" applyNumberFormat="1" applyFill="1" applyBorder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8" fontId="0" fillId="20" borderId="34" xfId="0" applyNumberFormat="1" applyFill="1" applyBorder="1" applyAlignment="1">
      <alignment horizontal="center" vertical="center" wrapText="1"/>
    </xf>
    <xf numFmtId="0" fontId="22" fillId="20" borderId="32" xfId="0" applyFont="1" applyFill="1" applyBorder="1" applyAlignment="1">
      <alignment horizontal="center" vertical="center" wrapText="1"/>
    </xf>
    <xf numFmtId="8" fontId="2" fillId="19" borderId="34" xfId="0" applyNumberFormat="1" applyFont="1" applyFill="1" applyBorder="1" applyAlignment="1">
      <alignment horizontal="center" vertical="center" wrapText="1"/>
    </xf>
    <xf numFmtId="8" fontId="22" fillId="20" borderId="34" xfId="0" applyNumberFormat="1" applyFont="1" applyFill="1" applyBorder="1" applyAlignment="1">
      <alignment horizontal="center" vertical="center" wrapText="1"/>
    </xf>
    <xf numFmtId="8" fontId="14" fillId="14" borderId="0" xfId="0" applyNumberFormat="1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14" borderId="0" xfId="0" applyFont="1" applyFill="1" applyAlignment="1">
      <alignment horizontal="center" vertical="center" wrapText="1"/>
    </xf>
    <xf numFmtId="4" fontId="0" fillId="14" borderId="0" xfId="0" applyNumberFormat="1" applyFill="1" applyAlignment="1">
      <alignment horizontal="center" vertical="center" wrapText="1"/>
    </xf>
    <xf numFmtId="8" fontId="22" fillId="14" borderId="0" xfId="0" applyNumberFormat="1" applyFont="1" applyFill="1" applyAlignment="1">
      <alignment horizontal="center" vertical="center" wrapText="1"/>
    </xf>
    <xf numFmtId="8" fontId="22" fillId="14" borderId="31" xfId="0" applyNumberFormat="1" applyFont="1" applyFill="1" applyBorder="1" applyAlignment="1">
      <alignment horizontal="center" vertical="center" wrapText="1"/>
    </xf>
    <xf numFmtId="8" fontId="14" fillId="20" borderId="3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8" fontId="0" fillId="14" borderId="0" xfId="0" applyNumberFormat="1" applyFill="1" applyAlignment="1">
      <alignment horizontal="center" vertical="center" wrapText="1"/>
    </xf>
    <xf numFmtId="8" fontId="0" fillId="19" borderId="34" xfId="0" applyNumberFormat="1" applyFill="1" applyBorder="1" applyAlignment="1">
      <alignment horizontal="center" vertical="center"/>
    </xf>
    <xf numFmtId="0" fontId="0" fillId="20" borderId="34" xfId="0" applyFill="1" applyBorder="1"/>
    <xf numFmtId="8" fontId="6" fillId="16" borderId="31" xfId="0" applyNumberFormat="1" applyFont="1" applyFill="1" applyBorder="1" applyAlignment="1">
      <alignment horizontal="center" vertical="center" wrapText="1"/>
    </xf>
    <xf numFmtId="8" fontId="22" fillId="19" borderId="34" xfId="0" applyNumberFormat="1" applyFont="1" applyFill="1" applyBorder="1" applyAlignment="1">
      <alignment horizontal="center" vertical="center"/>
    </xf>
    <xf numFmtId="8" fontId="0" fillId="19" borderId="36" xfId="0" applyNumberFormat="1" applyFill="1" applyBorder="1" applyAlignment="1">
      <alignment horizontal="center" vertical="center"/>
    </xf>
    <xf numFmtId="0" fontId="0" fillId="20" borderId="36" xfId="0" applyFill="1" applyBorder="1"/>
    <xf numFmtId="0" fontId="14" fillId="17" borderId="31" xfId="0" applyFont="1" applyFill="1" applyBorder="1" applyAlignment="1">
      <alignment horizontal="center" vertical="center"/>
    </xf>
    <xf numFmtId="0" fontId="2" fillId="21" borderId="31" xfId="0" applyFont="1" applyFill="1" applyBorder="1" applyAlignment="1">
      <alignment horizontal="center" vertical="center" wrapText="1"/>
    </xf>
    <xf numFmtId="8" fontId="24" fillId="17" borderId="31" xfId="0" applyNumberFormat="1" applyFont="1" applyFill="1" applyBorder="1" applyAlignment="1">
      <alignment horizontal="center" vertical="center" wrapText="1"/>
    </xf>
    <xf numFmtId="8" fontId="25" fillId="18" borderId="31" xfId="0" applyNumberFormat="1" applyFont="1" applyFill="1" applyBorder="1" applyAlignment="1">
      <alignment horizontal="center" vertical="center" wrapText="1"/>
    </xf>
    <xf numFmtId="14" fontId="2" fillId="19" borderId="36" xfId="0" applyNumberFormat="1" applyFont="1" applyFill="1" applyBorder="1" applyAlignment="1">
      <alignment horizontal="center" vertical="center" wrapText="1"/>
    </xf>
    <xf numFmtId="0" fontId="2" fillId="20" borderId="36" xfId="0" applyFont="1" applyFill="1" applyBorder="1" applyAlignment="1">
      <alignment horizontal="center" vertical="center" wrapText="1"/>
    </xf>
    <xf numFmtId="14" fontId="2" fillId="0" borderId="31" xfId="0" applyNumberFormat="1" applyFont="1" applyBorder="1" applyAlignment="1">
      <alignment horizontal="center" vertical="center" wrapText="1"/>
    </xf>
    <xf numFmtId="0" fontId="2" fillId="22" borderId="34" xfId="0" applyFont="1" applyFill="1" applyBorder="1" applyAlignment="1">
      <alignment horizontal="center" vertical="center" wrapText="1"/>
    </xf>
    <xf numFmtId="0" fontId="2" fillId="21" borderId="34" xfId="0" applyFont="1" applyFill="1" applyBorder="1" applyAlignment="1">
      <alignment horizontal="center" vertical="center" wrapText="1"/>
    </xf>
    <xf numFmtId="0" fontId="2" fillId="14" borderId="34" xfId="0" applyFont="1" applyFill="1" applyBorder="1" applyAlignment="1">
      <alignment horizontal="center" vertical="center" wrapText="1"/>
    </xf>
    <xf numFmtId="0" fontId="2" fillId="14" borderId="36" xfId="0" applyFont="1" applyFill="1" applyBorder="1" applyAlignment="1">
      <alignment horizontal="center" vertical="center" wrapText="1"/>
    </xf>
    <xf numFmtId="0" fontId="2" fillId="18" borderId="31" xfId="0" applyFont="1" applyFill="1" applyBorder="1" applyAlignment="1">
      <alignment horizontal="center" vertical="center" wrapText="1"/>
    </xf>
    <xf numFmtId="0" fontId="2" fillId="14" borderId="31" xfId="0" applyFont="1" applyFill="1" applyBorder="1" applyAlignment="1">
      <alignment horizontal="center" vertical="center" wrapText="1"/>
    </xf>
    <xf numFmtId="0" fontId="2" fillId="14" borderId="32" xfId="0" applyFont="1" applyFill="1" applyBorder="1" applyAlignment="1">
      <alignment horizontal="center" vertical="center" wrapText="1"/>
    </xf>
    <xf numFmtId="0" fontId="22" fillId="14" borderId="34" xfId="0" applyFont="1" applyFill="1" applyBorder="1" applyAlignment="1">
      <alignment horizontal="center" vertical="center" wrapText="1"/>
    </xf>
    <xf numFmtId="0" fontId="2" fillId="20" borderId="34" xfId="0" applyFont="1" applyFill="1" applyBorder="1" applyAlignment="1">
      <alignment horizontal="center" vertical="center" wrapText="1"/>
    </xf>
    <xf numFmtId="0" fontId="14" fillId="20" borderId="41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14" fillId="19" borderId="44" xfId="0" applyFont="1" applyFill="1" applyBorder="1" applyAlignment="1">
      <alignment horizontal="center" vertical="center" wrapText="1"/>
    </xf>
    <xf numFmtId="14" fontId="0" fillId="0" borderId="31" xfId="0" applyNumberFormat="1" applyBorder="1" applyAlignment="1">
      <alignment horizontal="center" vertical="center"/>
    </xf>
    <xf numFmtId="0" fontId="2" fillId="19" borderId="36" xfId="0" applyFont="1" applyFill="1" applyBorder="1" applyAlignment="1">
      <alignment horizontal="center" vertical="center" wrapText="1"/>
    </xf>
    <xf numFmtId="0" fontId="0" fillId="14" borderId="34" xfId="0" applyFill="1" applyBorder="1"/>
    <xf numFmtId="0" fontId="0" fillId="14" borderId="34" xfId="0" applyFill="1" applyBorder="1" applyAlignment="1">
      <alignment horizontal="center" vertical="center"/>
    </xf>
    <xf numFmtId="0" fontId="0" fillId="14" borderId="36" xfId="0" applyFill="1" applyBorder="1"/>
    <xf numFmtId="0" fontId="0" fillId="14" borderId="36" xfId="0" applyFill="1" applyBorder="1" applyAlignment="1">
      <alignment horizontal="center" vertical="center"/>
    </xf>
    <xf numFmtId="0" fontId="0" fillId="14" borderId="32" xfId="0" applyFill="1" applyBorder="1"/>
    <xf numFmtId="0" fontId="0" fillId="14" borderId="32" xfId="0" applyFill="1" applyBorder="1" applyAlignment="1">
      <alignment horizontal="center" vertical="center"/>
    </xf>
    <xf numFmtId="0" fontId="0" fillId="18" borderId="31" xfId="0" applyFill="1" applyBorder="1" applyAlignment="1">
      <alignment vertical="center"/>
    </xf>
    <xf numFmtId="0" fontId="0" fillId="19" borderId="31" xfId="0" applyFill="1" applyBorder="1" applyAlignment="1">
      <alignment horizontal="center" vertical="center"/>
    </xf>
    <xf numFmtId="0" fontId="0" fillId="14" borderId="31" xfId="0" applyFill="1" applyBorder="1"/>
    <xf numFmtId="0" fontId="0" fillId="14" borderId="31" xfId="0" applyFill="1" applyBorder="1" applyAlignment="1">
      <alignment horizontal="center" vertical="center"/>
    </xf>
    <xf numFmtId="0" fontId="0" fillId="14" borderId="0" xfId="0" applyFill="1" applyAlignment="1">
      <alignment horizontal="center"/>
    </xf>
    <xf numFmtId="0" fontId="0" fillId="14" borderId="0" xfId="0" applyFill="1" applyBorder="1"/>
    <xf numFmtId="14" fontId="7" fillId="29" borderId="0" xfId="0" applyNumberFormat="1" applyFont="1" applyFill="1" applyBorder="1" applyAlignment="1">
      <alignment horizontal="center"/>
    </xf>
    <xf numFmtId="14" fontId="7" fillId="28" borderId="0" xfId="0" applyNumberFormat="1" applyFont="1" applyFill="1" applyBorder="1" applyAlignment="1">
      <alignment horizontal="center"/>
    </xf>
    <xf numFmtId="0" fontId="7" fillId="0" borderId="27" xfId="0" applyFont="1" applyBorder="1" applyAlignment="1">
      <alignment horizontal="center" wrapText="1"/>
    </xf>
    <xf numFmtId="0" fontId="14" fillId="0" borderId="0" xfId="0" applyFont="1" applyAlignment="1"/>
    <xf numFmtId="0" fontId="0" fillId="0" borderId="0" xfId="0" applyFont="1" applyAlignme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Font="1" applyAlignment="1"/>
    <xf numFmtId="0" fontId="0" fillId="0" borderId="27" xfId="0" applyFont="1" applyBorder="1" applyAlignment="1"/>
    <xf numFmtId="164" fontId="7" fillId="0" borderId="27" xfId="0" applyNumberFormat="1" applyFont="1" applyBorder="1" applyAlignment="1">
      <alignment horizontal="center"/>
    </xf>
    <xf numFmtId="165" fontId="7" fillId="0" borderId="27" xfId="0" applyNumberFormat="1" applyFont="1" applyBorder="1" applyAlignment="1">
      <alignment horizontal="center"/>
    </xf>
    <xf numFmtId="0" fontId="7" fillId="0" borderId="27" xfId="0" applyFont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164" fontId="7" fillId="2" borderId="27" xfId="0" applyNumberFormat="1" applyFont="1" applyFill="1" applyBorder="1" applyAlignment="1">
      <alignment horizontal="center" vertical="center"/>
    </xf>
    <xf numFmtId="165" fontId="7" fillId="2" borderId="27" xfId="0" applyNumberFormat="1" applyFont="1" applyFill="1" applyBorder="1" applyAlignment="1">
      <alignment horizontal="center" vertical="center"/>
    </xf>
    <xf numFmtId="3" fontId="7" fillId="0" borderId="27" xfId="0" applyNumberFormat="1" applyFont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3" fontId="7" fillId="3" borderId="27" xfId="0" applyNumberFormat="1" applyFont="1" applyFill="1" applyBorder="1" applyAlignment="1">
      <alignment horizontal="center"/>
    </xf>
    <xf numFmtId="3" fontId="3" fillId="0" borderId="27" xfId="0" applyNumberFormat="1" applyFont="1" applyBorder="1"/>
    <xf numFmtId="0" fontId="3" fillId="0" borderId="27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3" fillId="0" borderId="27" xfId="0" applyFont="1" applyBorder="1"/>
    <xf numFmtId="0" fontId="13" fillId="2" borderId="27" xfId="0" applyFont="1" applyFill="1" applyBorder="1" applyAlignment="1">
      <alignment horizontal="center" vertical="center"/>
    </xf>
    <xf numFmtId="164" fontId="13" fillId="2" borderId="27" xfId="0" applyNumberFormat="1" applyFont="1" applyFill="1" applyBorder="1" applyAlignment="1">
      <alignment horizontal="center" vertical="center"/>
    </xf>
    <xf numFmtId="165" fontId="13" fillId="2" borderId="27" xfId="0" applyNumberFormat="1" applyFont="1" applyFill="1" applyBorder="1" applyAlignment="1">
      <alignment horizontal="center" vertical="center"/>
    </xf>
    <xf numFmtId="0" fontId="7" fillId="12" borderId="27" xfId="0" applyFont="1" applyFill="1" applyBorder="1" applyAlignment="1">
      <alignment horizontal="center"/>
    </xf>
    <xf numFmtId="0" fontId="7" fillId="13" borderId="27" xfId="0" applyFont="1" applyFill="1" applyBorder="1" applyAlignment="1">
      <alignment horizontal="center"/>
    </xf>
    <xf numFmtId="2" fontId="7" fillId="3" borderId="27" xfId="0" applyNumberFormat="1" applyFont="1" applyFill="1" applyBorder="1" applyAlignment="1">
      <alignment horizontal="center"/>
    </xf>
    <xf numFmtId="0" fontId="7" fillId="14" borderId="27" xfId="0" applyFont="1" applyFill="1" applyBorder="1" applyAlignment="1">
      <alignment horizontal="center"/>
    </xf>
    <xf numFmtId="0" fontId="7" fillId="8" borderId="27" xfId="0" applyFont="1" applyFill="1" applyBorder="1" applyAlignment="1">
      <alignment horizontal="center"/>
    </xf>
    <xf numFmtId="14" fontId="7" fillId="0" borderId="27" xfId="0" applyNumberFormat="1" applyFont="1" applyBorder="1" applyAlignment="1">
      <alignment horizontal="center"/>
    </xf>
    <xf numFmtId="14" fontId="13" fillId="0" borderId="27" xfId="0" applyNumberFormat="1" applyFont="1" applyBorder="1" applyAlignment="1">
      <alignment horizontal="center"/>
    </xf>
    <xf numFmtId="14" fontId="13" fillId="7" borderId="27" xfId="0" applyNumberFormat="1" applyFont="1" applyFill="1" applyBorder="1" applyAlignment="1">
      <alignment horizontal="center"/>
    </xf>
    <xf numFmtId="14" fontId="13" fillId="8" borderId="27" xfId="0" applyNumberFormat="1" applyFont="1" applyFill="1" applyBorder="1" applyAlignment="1">
      <alignment horizontal="center"/>
    </xf>
    <xf numFmtId="14" fontId="13" fillId="11" borderId="27" xfId="0" applyNumberFormat="1" applyFont="1" applyFill="1" applyBorder="1" applyAlignment="1">
      <alignment horizontal="center"/>
    </xf>
    <xf numFmtId="14" fontId="13" fillId="6" borderId="27" xfId="0" applyNumberFormat="1" applyFont="1" applyFill="1" applyBorder="1" applyAlignment="1">
      <alignment horizontal="center"/>
    </xf>
    <xf numFmtId="14" fontId="13" fillId="5" borderId="27" xfId="0" applyNumberFormat="1" applyFont="1" applyFill="1" applyBorder="1" applyAlignment="1">
      <alignment horizontal="center"/>
    </xf>
    <xf numFmtId="14" fontId="13" fillId="10" borderId="27" xfId="0" applyNumberFormat="1" applyFont="1" applyFill="1" applyBorder="1" applyAlignment="1">
      <alignment horizontal="center"/>
    </xf>
    <xf numFmtId="14" fontId="13" fillId="4" borderId="27" xfId="0" applyNumberFormat="1" applyFont="1" applyFill="1" applyBorder="1" applyAlignment="1">
      <alignment horizontal="center"/>
    </xf>
    <xf numFmtId="0" fontId="0" fillId="0" borderId="27" xfId="0" applyFont="1" applyBorder="1" applyAlignment="1"/>
    <xf numFmtId="0" fontId="0" fillId="0" borderId="27" xfId="0" applyFont="1" applyBorder="1" applyAlignment="1"/>
    <xf numFmtId="0" fontId="0" fillId="0" borderId="27" xfId="0" applyFont="1" applyBorder="1" applyAlignment="1"/>
    <xf numFmtId="0" fontId="0" fillId="0" borderId="27" xfId="0" applyFont="1" applyBorder="1" applyAlignment="1"/>
    <xf numFmtId="0" fontId="6" fillId="0" borderId="27" xfId="0" applyFont="1" applyBorder="1"/>
    <xf numFmtId="0" fontId="0" fillId="0" borderId="27" xfId="0" applyFont="1" applyBorder="1" applyAlignme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Font="1" applyAlignment="1"/>
    <xf numFmtId="0" fontId="8" fillId="0" borderId="27" xfId="0" applyFont="1" applyBorder="1" applyAlignment="1">
      <alignment horizontal="center"/>
    </xf>
    <xf numFmtId="0" fontId="14" fillId="0" borderId="27" xfId="0" applyFont="1" applyBorder="1" applyAlignment="1"/>
    <xf numFmtId="0" fontId="0" fillId="0" borderId="27" xfId="0" applyFont="1" applyBorder="1" applyAlignment="1"/>
    <xf numFmtId="0" fontId="15" fillId="0" borderId="27" xfId="0" applyFont="1" applyBorder="1" applyAlignment="1">
      <alignment horizontal="center"/>
    </xf>
    <xf numFmtId="14" fontId="2" fillId="19" borderId="32" xfId="0" applyNumberFormat="1" applyFont="1" applyFill="1" applyBorder="1" applyAlignment="1">
      <alignment horizontal="center" vertical="center" wrapText="1"/>
    </xf>
    <xf numFmtId="14" fontId="2" fillId="19" borderId="36" xfId="0" applyNumberFormat="1" applyFont="1" applyFill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36" xfId="0" applyNumberFormat="1" applyFont="1" applyBorder="1" applyAlignment="1">
      <alignment horizontal="center" vertical="center" wrapText="1"/>
    </xf>
    <xf numFmtId="0" fontId="6" fillId="15" borderId="37" xfId="0" applyFont="1" applyFill="1" applyBorder="1" applyAlignment="1">
      <alignment horizontal="center" vertical="center" wrapText="1"/>
    </xf>
    <xf numFmtId="0" fontId="6" fillId="15" borderId="38" xfId="0" applyFont="1" applyFill="1" applyBorder="1" applyAlignment="1">
      <alignment horizontal="center" vertical="center" wrapText="1"/>
    </xf>
    <xf numFmtId="0" fontId="6" fillId="15" borderId="39" xfId="0" applyFont="1" applyFill="1" applyBorder="1" applyAlignment="1">
      <alignment horizontal="center" vertical="center" wrapText="1"/>
    </xf>
    <xf numFmtId="0" fontId="2" fillId="18" borderId="32" xfId="0" applyFont="1" applyFill="1" applyBorder="1" applyAlignment="1">
      <alignment horizontal="center" vertical="center" wrapText="1"/>
    </xf>
    <xf numFmtId="0" fontId="2" fillId="18" borderId="34" xfId="0" applyFont="1" applyFill="1" applyBorder="1" applyAlignment="1">
      <alignment horizontal="center" vertical="center" wrapText="1"/>
    </xf>
    <xf numFmtId="0" fontId="2" fillId="18" borderId="36" xfId="0" applyFont="1" applyFill="1" applyBorder="1" applyAlignment="1">
      <alignment horizontal="center" vertical="center" wrapText="1"/>
    </xf>
    <xf numFmtId="16" fontId="2" fillId="19" borderId="32" xfId="0" applyNumberFormat="1" applyFont="1" applyFill="1" applyBorder="1" applyAlignment="1">
      <alignment horizontal="center" vertical="center" wrapText="1"/>
    </xf>
    <xf numFmtId="16" fontId="2" fillId="19" borderId="34" xfId="0" applyNumberFormat="1" applyFont="1" applyFill="1" applyBorder="1" applyAlignment="1">
      <alignment horizontal="center" vertical="center" wrapText="1"/>
    </xf>
    <xf numFmtId="16" fontId="2" fillId="19" borderId="36" xfId="0" applyNumberFormat="1" applyFont="1" applyFill="1" applyBorder="1" applyAlignment="1">
      <alignment horizontal="center" vertical="center" wrapText="1"/>
    </xf>
    <xf numFmtId="0" fontId="22" fillId="18" borderId="32" xfId="0" applyFont="1" applyFill="1" applyBorder="1" applyAlignment="1">
      <alignment horizontal="center" vertical="center"/>
    </xf>
    <xf numFmtId="0" fontId="22" fillId="18" borderId="34" xfId="0" applyFont="1" applyFill="1" applyBorder="1" applyAlignment="1">
      <alignment horizontal="center" vertical="center"/>
    </xf>
    <xf numFmtId="0" fontId="22" fillId="18" borderId="36" xfId="0" applyFont="1" applyFill="1" applyBorder="1" applyAlignment="1">
      <alignment horizontal="center" vertical="center"/>
    </xf>
    <xf numFmtId="0" fontId="14" fillId="18" borderId="32" xfId="0" applyFont="1" applyFill="1" applyBorder="1" applyAlignment="1">
      <alignment horizontal="center" vertical="center" wrapText="1"/>
    </xf>
    <xf numFmtId="0" fontId="14" fillId="18" borderId="34" xfId="0" applyFont="1" applyFill="1" applyBorder="1" applyAlignment="1">
      <alignment horizontal="center" vertical="center" wrapText="1"/>
    </xf>
    <xf numFmtId="0" fontId="14" fillId="18" borderId="36" xfId="0" applyFont="1" applyFill="1" applyBorder="1" applyAlignment="1">
      <alignment horizontal="center" vertical="center" wrapText="1"/>
    </xf>
    <xf numFmtId="0" fontId="14" fillId="16" borderId="32" xfId="0" applyFont="1" applyFill="1" applyBorder="1" applyAlignment="1">
      <alignment horizontal="center" vertical="center" wrapText="1"/>
    </xf>
    <xf numFmtId="0" fontId="14" fillId="16" borderId="34" xfId="0" applyFont="1" applyFill="1" applyBorder="1" applyAlignment="1">
      <alignment horizontal="center" vertical="center" wrapText="1"/>
    </xf>
    <xf numFmtId="0" fontId="14" fillId="16" borderId="36" xfId="0" applyFont="1" applyFill="1" applyBorder="1" applyAlignment="1">
      <alignment horizontal="center" vertical="center" wrapText="1"/>
    </xf>
    <xf numFmtId="8" fontId="22" fillId="14" borderId="33" xfId="0" applyNumberFormat="1" applyFont="1" applyFill="1" applyBorder="1" applyAlignment="1">
      <alignment horizontal="center" vertical="center" wrapText="1"/>
    </xf>
    <xf numFmtId="8" fontId="22" fillId="14" borderId="37" xfId="0" applyNumberFormat="1" applyFont="1" applyFill="1" applyBorder="1" applyAlignment="1">
      <alignment horizontal="center" vertical="center" wrapText="1"/>
    </xf>
    <xf numFmtId="0" fontId="22" fillId="19" borderId="32" xfId="0" applyFont="1" applyFill="1" applyBorder="1" applyAlignment="1">
      <alignment horizontal="center" vertical="center" wrapText="1"/>
    </xf>
    <xf numFmtId="0" fontId="22" fillId="19" borderId="34" xfId="0" applyFont="1" applyFill="1" applyBorder="1" applyAlignment="1">
      <alignment horizontal="center" vertical="center" wrapText="1"/>
    </xf>
    <xf numFmtId="0" fontId="22" fillId="19" borderId="36" xfId="0" applyFont="1" applyFill="1" applyBorder="1" applyAlignment="1">
      <alignment horizontal="center" vertical="center" wrapText="1"/>
    </xf>
    <xf numFmtId="0" fontId="2" fillId="19" borderId="33" xfId="0" applyFont="1" applyFill="1" applyBorder="1" applyAlignment="1">
      <alignment horizontal="center" vertical="center" wrapText="1"/>
    </xf>
    <xf numFmtId="0" fontId="2" fillId="19" borderId="37" xfId="0" applyFont="1" applyFill="1" applyBorder="1" applyAlignment="1">
      <alignment horizontal="center" vertical="center" wrapText="1"/>
    </xf>
    <xf numFmtId="0" fontId="14" fillId="16" borderId="32" xfId="0" applyFont="1" applyFill="1" applyBorder="1" applyAlignment="1">
      <alignment horizontal="center" vertical="center"/>
    </xf>
    <xf numFmtId="0" fontId="14" fillId="16" borderId="34" xfId="0" applyFont="1" applyFill="1" applyBorder="1" applyAlignment="1">
      <alignment horizontal="center" vertical="center"/>
    </xf>
    <xf numFmtId="0" fontId="14" fillId="16" borderId="36" xfId="0" applyFont="1" applyFill="1" applyBorder="1" applyAlignment="1">
      <alignment horizontal="center" vertical="center"/>
    </xf>
    <xf numFmtId="0" fontId="14" fillId="14" borderId="33" xfId="0" applyFont="1" applyFill="1" applyBorder="1" applyAlignment="1">
      <alignment horizontal="center" vertical="center"/>
    </xf>
    <xf numFmtId="0" fontId="14" fillId="14" borderId="35" xfId="0" applyFont="1" applyFill="1" applyBorder="1" applyAlignment="1">
      <alignment horizontal="center" vertical="center"/>
    </xf>
    <xf numFmtId="0" fontId="14" fillId="14" borderId="37" xfId="0" applyFont="1" applyFill="1" applyBorder="1" applyAlignment="1">
      <alignment horizontal="center" vertical="center"/>
    </xf>
    <xf numFmtId="0" fontId="2" fillId="19" borderId="32" xfId="0" applyFont="1" applyFill="1" applyBorder="1" applyAlignment="1">
      <alignment horizontal="center" vertical="center" wrapText="1"/>
    </xf>
    <xf numFmtId="0" fontId="2" fillId="19" borderId="34" xfId="0" applyFont="1" applyFill="1" applyBorder="1" applyAlignment="1">
      <alignment horizontal="center" vertical="center" wrapText="1"/>
    </xf>
    <xf numFmtId="0" fontId="2" fillId="19" borderId="36" xfId="0" applyFont="1" applyFill="1" applyBorder="1" applyAlignment="1">
      <alignment horizontal="center" vertical="center" wrapText="1"/>
    </xf>
    <xf numFmtId="14" fontId="2" fillId="14" borderId="41" xfId="0" applyNumberFormat="1" applyFont="1" applyFill="1" applyBorder="1" applyAlignment="1">
      <alignment horizontal="center" vertical="center" wrapText="1"/>
    </xf>
    <xf numFmtId="14" fontId="2" fillId="14" borderId="39" xfId="0" applyNumberFormat="1" applyFont="1" applyFill="1" applyBorder="1" applyAlignment="1">
      <alignment horizontal="center" vertical="center" wrapText="1"/>
    </xf>
    <xf numFmtId="14" fontId="2" fillId="0" borderId="41" xfId="0" applyNumberFormat="1" applyFont="1" applyBorder="1" applyAlignment="1">
      <alignment horizontal="center" vertical="center" wrapText="1"/>
    </xf>
    <xf numFmtId="14" fontId="2" fillId="0" borderId="39" xfId="0" applyNumberFormat="1" applyFont="1" applyBorder="1" applyAlignment="1">
      <alignment horizontal="center" vertical="center" wrapText="1"/>
    </xf>
    <xf numFmtId="14" fontId="2" fillId="0" borderId="42" xfId="0" applyNumberFormat="1" applyFont="1" applyBorder="1" applyAlignment="1">
      <alignment horizontal="center" vertical="center" wrapText="1"/>
    </xf>
    <xf numFmtId="14" fontId="0" fillId="0" borderId="32" xfId="0" applyNumberFormat="1" applyBorder="1" applyAlignment="1">
      <alignment horizontal="center" vertical="center"/>
    </xf>
    <xf numFmtId="14" fontId="0" fillId="0" borderId="34" xfId="0" applyNumberFormat="1" applyBorder="1" applyAlignment="1">
      <alignment horizontal="center" vertical="center"/>
    </xf>
    <xf numFmtId="14" fontId="0" fillId="0" borderId="36" xfId="0" applyNumberFormat="1" applyBorder="1" applyAlignment="1">
      <alignment horizontal="center" vertical="center"/>
    </xf>
    <xf numFmtId="0" fontId="0" fillId="18" borderId="32" xfId="0" applyFill="1" applyBorder="1" applyAlignment="1">
      <alignment horizontal="center" vertical="center"/>
    </xf>
    <xf numFmtId="0" fontId="0" fillId="18" borderId="34" xfId="0" applyFill="1" applyBorder="1" applyAlignment="1">
      <alignment horizontal="center" vertical="center"/>
    </xf>
    <xf numFmtId="0" fontId="0" fillId="18" borderId="36" xfId="0" applyFill="1" applyBorder="1" applyAlignment="1">
      <alignment horizontal="center" vertical="center"/>
    </xf>
    <xf numFmtId="0" fontId="22" fillId="19" borderId="32" xfId="0" applyFont="1" applyFill="1" applyBorder="1" applyAlignment="1">
      <alignment horizontal="center" vertical="center"/>
    </xf>
    <xf numFmtId="0" fontId="22" fillId="19" borderId="34" xfId="0" applyFont="1" applyFill="1" applyBorder="1" applyAlignment="1">
      <alignment horizontal="center" vertical="center"/>
    </xf>
    <xf numFmtId="0" fontId="22" fillId="19" borderId="36" xfId="0" applyFont="1" applyFill="1" applyBorder="1" applyAlignment="1">
      <alignment horizontal="center" vertical="center"/>
    </xf>
    <xf numFmtId="0" fontId="0" fillId="19" borderId="32" xfId="0" applyFill="1" applyBorder="1" applyAlignment="1">
      <alignment horizontal="center" vertical="center"/>
    </xf>
    <xf numFmtId="0" fontId="0" fillId="19" borderId="34" xfId="0" applyFill="1" applyBorder="1" applyAlignment="1">
      <alignment horizontal="center" vertical="center"/>
    </xf>
    <xf numFmtId="0" fontId="0" fillId="19" borderId="36" xfId="0" applyFill="1" applyBorder="1" applyAlignment="1">
      <alignment horizontal="center" vertical="center"/>
    </xf>
    <xf numFmtId="0" fontId="3" fillId="0" borderId="18" xfId="0" applyFont="1" applyBorder="1"/>
    <xf numFmtId="0" fontId="11" fillId="0" borderId="19" xfId="0" applyFont="1" applyBorder="1"/>
    <xf numFmtId="0" fontId="11" fillId="0" borderId="20" xfId="0" applyFont="1" applyBorder="1"/>
    <xf numFmtId="0" fontId="7" fillId="0" borderId="4" xfId="0" applyFont="1" applyBorder="1"/>
    <xf numFmtId="0" fontId="11" fillId="0" borderId="5" xfId="0" applyFont="1" applyBorder="1"/>
    <xf numFmtId="0" fontId="11" fillId="0" borderId="6" xfId="0" applyFont="1" applyBorder="1"/>
    <xf numFmtId="0" fontId="3" fillId="0" borderId="4" xfId="0" applyFont="1" applyBorder="1"/>
    <xf numFmtId="0" fontId="7" fillId="0" borderId="4" xfId="0" applyFont="1" applyBorder="1" applyAlignment="1">
      <alignment horizontal="center"/>
    </xf>
    <xf numFmtId="0" fontId="3" fillId="0" borderId="15" xfId="0" applyFont="1" applyBorder="1"/>
    <xf numFmtId="0" fontId="11" fillId="0" borderId="16" xfId="0" applyFont="1" applyBorder="1"/>
    <xf numFmtId="0" fontId="11" fillId="0" borderId="17" xfId="0" applyFont="1" applyBorder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" fillId="0" borderId="8" xfId="0" applyFont="1" applyBorder="1"/>
    <xf numFmtId="0" fontId="11" fillId="0" borderId="9" xfId="0" applyFont="1" applyBorder="1"/>
  </cellXfs>
  <cellStyles count="1">
    <cellStyle name="Normal" xfId="0" builtinId="0"/>
  </cellStyles>
  <dxfs count="18"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INCIDENCIAS-style" pivot="0" count="3" xr9:uid="{00000000-0011-0000-FFFF-FFFF00000000}"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O245">
  <tableColumns count="15">
    <tableColumn id="1" xr3:uid="{00000000-0010-0000-0000-000001000000}" name="Semana" dataDxfId="14"/>
    <tableColumn id="2" xr3:uid="{00000000-0010-0000-0000-000002000000}" name="Tienda" dataDxfId="13"/>
    <tableColumn id="3" xr3:uid="{00000000-0010-0000-0000-000003000000}" name="Fecha" dataDxfId="12"/>
    <tableColumn id="4" xr3:uid="{00000000-0010-0000-0000-000004000000}" name="Semana2" dataDxfId="11"/>
    <tableColumn id="5" xr3:uid="{00000000-0010-0000-0000-000005000000}" name="Área" dataDxfId="10"/>
    <tableColumn id="6" xr3:uid="{00000000-0010-0000-0000-000006000000}" name="Producto" dataDxfId="9"/>
    <tableColumn id="7" xr3:uid="{00000000-0010-0000-0000-000007000000}" name="Marca" dataDxfId="8"/>
    <tableColumn id="8" xr3:uid="{00000000-0010-0000-0000-000008000000}" name="Cantidad" dataDxfId="7"/>
    <tableColumn id="9" xr3:uid="{00000000-0010-0000-0000-000009000000}" name="P. Venta" dataDxfId="6"/>
    <tableColumn id="10" xr3:uid="{00000000-0010-0000-0000-00000A000000}" name="Total" dataDxfId="5"/>
    <tableColumn id="11" xr3:uid="{00000000-0010-0000-0000-00000B000000}" name="Tipo Incidencia" dataDxfId="4"/>
    <tableColumn id="12" xr3:uid="{00000000-0010-0000-0000-00000C000000}" name="Personal Tienda" dataDxfId="3"/>
    <tableColumn id="13" xr3:uid="{00000000-0010-0000-0000-00000D000000}" name="Datos Involucrado" dataDxfId="2"/>
    <tableColumn id="14" xr3:uid="{00000000-0010-0000-0000-00000E000000}" name="DNI" dataDxfId="1"/>
    <tableColumn id="15" xr3:uid="{00000000-0010-0000-0000-00000F000000}" name="Observaciones" dataDxfId="0"/>
  </tableColumns>
  <tableStyleInfo name="INCIDENCI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DD1003"/>
  <sheetViews>
    <sheetView topLeftCell="A49" workbookViewId="0">
      <selection activeCell="O76" sqref="O76"/>
    </sheetView>
  </sheetViews>
  <sheetFormatPr baseColWidth="10" defaultColWidth="12.625" defaultRowHeight="15" customHeight="1" x14ac:dyDescent="0.25"/>
  <cols>
    <col min="1" max="1" width="18.5" style="36" customWidth="1"/>
    <col min="2" max="2" width="15.75" style="58" customWidth="1"/>
    <col min="3" max="3" width="10" style="60" customWidth="1"/>
    <col min="4" max="4" width="8.625" style="60" customWidth="1"/>
    <col min="5" max="5" width="8.375" style="60" customWidth="1"/>
    <col min="6" max="6" width="26.75" style="61" customWidth="1"/>
    <col min="7" max="7" width="16.625" style="39" customWidth="1"/>
    <col min="8" max="8" width="5.25" style="39" customWidth="1"/>
    <col min="9" max="9" width="13" style="39" customWidth="1"/>
    <col min="10" max="10" width="11.875" style="39" customWidth="1"/>
    <col min="11" max="11" width="16" style="39" customWidth="1"/>
    <col min="12" max="12" width="21.875" style="39" customWidth="1"/>
    <col min="13" max="13" width="24.375" style="39" customWidth="1"/>
    <col min="14" max="14" width="9.125" style="39" customWidth="1"/>
    <col min="15" max="15" width="16.75" style="39" customWidth="1"/>
    <col min="16" max="16" width="14.375" style="97" customWidth="1"/>
    <col min="17" max="26" width="14.375" customWidth="1"/>
  </cols>
  <sheetData>
    <row r="1" spans="1:108" x14ac:dyDescent="0.25">
      <c r="A1" s="40" t="s">
        <v>214</v>
      </c>
      <c r="B1" s="59" t="s">
        <v>215</v>
      </c>
      <c r="C1" s="42" t="s">
        <v>216</v>
      </c>
      <c r="D1" s="41" t="s">
        <v>214</v>
      </c>
      <c r="E1" s="56" t="s">
        <v>217</v>
      </c>
      <c r="F1" s="63" t="s">
        <v>218</v>
      </c>
      <c r="G1" s="44" t="s">
        <v>54</v>
      </c>
      <c r="H1" s="44" t="s">
        <v>219</v>
      </c>
      <c r="I1" s="46" t="s">
        <v>220</v>
      </c>
      <c r="J1" s="46" t="s">
        <v>74</v>
      </c>
      <c r="K1" s="44" t="s">
        <v>221</v>
      </c>
      <c r="L1" s="44" t="s">
        <v>222</v>
      </c>
      <c r="M1" s="44" t="s">
        <v>223</v>
      </c>
      <c r="N1" s="44" t="s">
        <v>13</v>
      </c>
      <c r="O1" s="44" t="s">
        <v>224</v>
      </c>
    </row>
    <row r="2" spans="1:108" x14ac:dyDescent="0.25">
      <c r="A2" s="37" t="s">
        <v>0</v>
      </c>
      <c r="B2" s="57" t="s">
        <v>1</v>
      </c>
      <c r="C2" s="48" t="s">
        <v>2</v>
      </c>
      <c r="D2" s="48" t="s">
        <v>3</v>
      </c>
      <c r="E2" s="48" t="s">
        <v>4</v>
      </c>
      <c r="F2" s="47" t="s">
        <v>5</v>
      </c>
      <c r="G2" s="47" t="s">
        <v>6</v>
      </c>
      <c r="H2" s="47" t="s">
        <v>7</v>
      </c>
      <c r="I2" s="54" t="s">
        <v>8</v>
      </c>
      <c r="J2" s="54" t="s">
        <v>9</v>
      </c>
      <c r="K2" s="47" t="s">
        <v>10</v>
      </c>
      <c r="L2" s="55" t="s">
        <v>11</v>
      </c>
      <c r="M2" s="55" t="s">
        <v>12</v>
      </c>
      <c r="N2" s="47" t="s">
        <v>13</v>
      </c>
      <c r="O2" s="47" t="s">
        <v>14</v>
      </c>
      <c r="X2" s="98"/>
    </row>
    <row r="3" spans="1:108" x14ac:dyDescent="0.25">
      <c r="A3" s="282" t="s">
        <v>361</v>
      </c>
      <c r="B3" s="62"/>
      <c r="C3" s="270"/>
      <c r="D3" s="43"/>
      <c r="E3" s="62"/>
      <c r="F3" s="62"/>
      <c r="G3" s="43"/>
      <c r="H3" s="43"/>
      <c r="I3" s="45"/>
      <c r="J3" s="45"/>
      <c r="K3" s="43"/>
      <c r="L3" s="43"/>
      <c r="M3" s="43"/>
      <c r="N3" s="43"/>
      <c r="O3" s="43"/>
      <c r="R3" s="98"/>
      <c r="S3" s="98"/>
      <c r="T3" s="98"/>
      <c r="U3" s="98"/>
      <c r="V3" s="98"/>
      <c r="W3" s="98"/>
      <c r="X3" s="98"/>
      <c r="Y3" s="98"/>
      <c r="AC3" s="98"/>
      <c r="AD3" s="98"/>
      <c r="AE3" s="98"/>
      <c r="AF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</row>
    <row r="4" spans="1:108" s="68" customFormat="1" x14ac:dyDescent="0.25">
      <c r="A4" s="78"/>
      <c r="B4" s="79" t="s">
        <v>15</v>
      </c>
      <c r="C4" s="271">
        <v>46113</v>
      </c>
      <c r="D4" s="80"/>
      <c r="E4" s="79" t="s">
        <v>202</v>
      </c>
      <c r="F4" s="79" t="s">
        <v>17</v>
      </c>
      <c r="G4" s="80" t="s">
        <v>18</v>
      </c>
      <c r="H4" s="80">
        <v>2</v>
      </c>
      <c r="I4" s="81" t="s">
        <v>19</v>
      </c>
      <c r="J4" s="81">
        <v>133.9</v>
      </c>
      <c r="K4" s="80" t="s">
        <v>20</v>
      </c>
      <c r="L4" s="80" t="s">
        <v>21</v>
      </c>
      <c r="M4" s="80" t="s">
        <v>22</v>
      </c>
      <c r="N4" s="80">
        <v>0</v>
      </c>
      <c r="O4" s="80"/>
      <c r="P4" s="97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</row>
    <row r="5" spans="1:108" s="86" customFormat="1" x14ac:dyDescent="0.25">
      <c r="A5" s="91"/>
      <c r="B5" s="83" t="s">
        <v>15</v>
      </c>
      <c r="C5" s="272">
        <v>46113</v>
      </c>
      <c r="D5" s="84">
        <f>WEEKNUM(INCIDENCIAS!$C5)</f>
        <v>14</v>
      </c>
      <c r="E5" s="83" t="s">
        <v>225</v>
      </c>
      <c r="F5" s="83" t="s">
        <v>23</v>
      </c>
      <c r="G5" s="84"/>
      <c r="H5" s="84">
        <v>1</v>
      </c>
      <c r="I5" s="85">
        <v>14</v>
      </c>
      <c r="J5" s="85">
        <f>INCIDENCIAS!$H5*INCIDENCIAS!$I5</f>
        <v>14</v>
      </c>
      <c r="K5" s="84" t="s">
        <v>20</v>
      </c>
      <c r="L5" s="84" t="s">
        <v>21</v>
      </c>
      <c r="M5" s="84" t="s">
        <v>22</v>
      </c>
      <c r="N5" s="84">
        <v>0</v>
      </c>
      <c r="O5" s="84"/>
      <c r="P5" s="97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</row>
    <row r="6" spans="1:108" s="68" customFormat="1" x14ac:dyDescent="0.25">
      <c r="A6" s="78"/>
      <c r="B6" s="79" t="s">
        <v>15</v>
      </c>
      <c r="C6" s="271">
        <v>46115</v>
      </c>
      <c r="D6" s="80">
        <f>WEEKNUM(INCIDENCIAS!$C6)</f>
        <v>14</v>
      </c>
      <c r="E6" s="79" t="s">
        <v>202</v>
      </c>
      <c r="F6" s="79" t="s">
        <v>24</v>
      </c>
      <c r="G6" s="80" t="s">
        <v>25</v>
      </c>
      <c r="H6" s="80">
        <v>1</v>
      </c>
      <c r="I6" s="81">
        <v>170</v>
      </c>
      <c r="J6" s="81">
        <v>170</v>
      </c>
      <c r="K6" s="161" t="s">
        <v>26</v>
      </c>
      <c r="L6" s="80" t="s">
        <v>21</v>
      </c>
      <c r="M6" s="80" t="s">
        <v>27</v>
      </c>
      <c r="N6" s="80">
        <v>0</v>
      </c>
      <c r="O6" s="80"/>
      <c r="P6" s="97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</row>
    <row r="7" spans="1:108" s="86" customFormat="1" x14ac:dyDescent="0.25">
      <c r="A7" s="92"/>
      <c r="B7" s="93" t="s">
        <v>28</v>
      </c>
      <c r="C7" s="273">
        <v>46120</v>
      </c>
      <c r="D7" s="94">
        <f>WEEKNUM(INCIDENCIAS!$C7)</f>
        <v>15</v>
      </c>
      <c r="E7" s="93" t="s">
        <v>201</v>
      </c>
      <c r="F7" s="93" t="s">
        <v>29</v>
      </c>
      <c r="G7" s="94" t="s">
        <v>30</v>
      </c>
      <c r="H7" s="94">
        <v>2</v>
      </c>
      <c r="I7" s="95" t="s">
        <v>31</v>
      </c>
      <c r="J7" s="95">
        <v>328</v>
      </c>
      <c r="K7" s="160" t="s">
        <v>26</v>
      </c>
      <c r="L7" s="94" t="s">
        <v>32</v>
      </c>
      <c r="M7" s="94" t="s">
        <v>33</v>
      </c>
      <c r="N7" s="94">
        <v>0</v>
      </c>
      <c r="O7" s="94"/>
      <c r="P7" s="97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</row>
    <row r="8" spans="1:108" s="68" customFormat="1" x14ac:dyDescent="0.25">
      <c r="A8" s="73"/>
      <c r="B8" s="74" t="s">
        <v>34</v>
      </c>
      <c r="C8" s="274">
        <v>46120</v>
      </c>
      <c r="D8" s="75">
        <f>WEEKNUM(INCIDENCIAS!$C8)</f>
        <v>15</v>
      </c>
      <c r="E8" s="74" t="s">
        <v>201</v>
      </c>
      <c r="F8" s="74" t="s">
        <v>35</v>
      </c>
      <c r="G8" s="75" t="s">
        <v>36</v>
      </c>
      <c r="H8" s="75">
        <v>1</v>
      </c>
      <c r="I8" s="76">
        <v>89</v>
      </c>
      <c r="J8" s="76">
        <v>89</v>
      </c>
      <c r="K8" s="159" t="s">
        <v>26</v>
      </c>
      <c r="L8" s="75"/>
      <c r="M8" s="75" t="s">
        <v>37</v>
      </c>
      <c r="N8" s="75">
        <v>0</v>
      </c>
      <c r="O8" s="75"/>
      <c r="P8" s="97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</row>
    <row r="9" spans="1:108" s="86" customFormat="1" x14ac:dyDescent="0.25">
      <c r="A9" s="82"/>
      <c r="B9" s="83" t="s">
        <v>15</v>
      </c>
      <c r="C9" s="272">
        <v>46121</v>
      </c>
      <c r="D9" s="84">
        <v>16</v>
      </c>
      <c r="E9" s="83" t="s">
        <v>201</v>
      </c>
      <c r="F9" s="83" t="s">
        <v>35</v>
      </c>
      <c r="G9" s="84" t="s">
        <v>38</v>
      </c>
      <c r="H9" s="84">
        <v>1</v>
      </c>
      <c r="I9" s="85">
        <v>139</v>
      </c>
      <c r="J9" s="85">
        <v>139</v>
      </c>
      <c r="K9" s="84" t="s">
        <v>39</v>
      </c>
      <c r="L9" s="84" t="s">
        <v>40</v>
      </c>
      <c r="M9" s="84" t="s">
        <v>37</v>
      </c>
      <c r="N9" s="84">
        <v>0</v>
      </c>
      <c r="O9" s="84"/>
      <c r="P9" s="97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</row>
    <row r="10" spans="1:108" s="68" customFormat="1" x14ac:dyDescent="0.25">
      <c r="A10" s="77"/>
      <c r="B10" s="70" t="s">
        <v>41</v>
      </c>
      <c r="C10" s="275">
        <v>46125</v>
      </c>
      <c r="D10" s="71">
        <v>16</v>
      </c>
      <c r="E10" s="70" t="s">
        <v>201</v>
      </c>
      <c r="F10" s="70" t="s">
        <v>29</v>
      </c>
      <c r="G10" s="71" t="s">
        <v>30</v>
      </c>
      <c r="H10" s="71">
        <v>1</v>
      </c>
      <c r="I10" s="72">
        <v>249</v>
      </c>
      <c r="J10" s="72">
        <f>INCIDENCIAS!$H10*INCIDENCIAS!$I10</f>
        <v>249</v>
      </c>
      <c r="K10" s="158" t="s">
        <v>26</v>
      </c>
      <c r="L10" s="71" t="s">
        <v>42</v>
      </c>
      <c r="M10" s="71" t="s">
        <v>43</v>
      </c>
      <c r="N10" s="71">
        <v>0</v>
      </c>
      <c r="O10" s="71"/>
      <c r="P10" s="97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</row>
    <row r="11" spans="1:108" s="86" customFormat="1" x14ac:dyDescent="0.25">
      <c r="A11" s="91"/>
      <c r="B11" s="83" t="s">
        <v>15</v>
      </c>
      <c r="C11" s="272">
        <v>46125</v>
      </c>
      <c r="D11" s="84">
        <f>WEEKNUM(INCIDENCIAS!$C11)</f>
        <v>16</v>
      </c>
      <c r="E11" s="83" t="s">
        <v>202</v>
      </c>
      <c r="F11" s="83" t="s">
        <v>44</v>
      </c>
      <c r="G11" s="84" t="s">
        <v>45</v>
      </c>
      <c r="H11" s="84">
        <v>1</v>
      </c>
      <c r="I11" s="85">
        <v>99</v>
      </c>
      <c r="J11" s="85">
        <f>INCIDENCIAS!$H11*INCIDENCIAS!$I11</f>
        <v>99</v>
      </c>
      <c r="K11" s="84" t="s">
        <v>46</v>
      </c>
      <c r="L11" s="84"/>
      <c r="M11" s="84"/>
      <c r="N11" s="84"/>
      <c r="O11" s="84"/>
      <c r="P11" s="97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</row>
    <row r="12" spans="1:108" x14ac:dyDescent="0.25">
      <c r="A12" s="38"/>
      <c r="B12" s="62" t="s">
        <v>47</v>
      </c>
      <c r="C12" s="270">
        <v>46126</v>
      </c>
      <c r="D12" s="43">
        <f>WEEKNUM(INCIDENCIAS!$C12)</f>
        <v>16</v>
      </c>
      <c r="E12" s="62" t="s">
        <v>225</v>
      </c>
      <c r="F12" s="62" t="s">
        <v>48</v>
      </c>
      <c r="G12" s="43" t="s">
        <v>49</v>
      </c>
      <c r="H12" s="43">
        <v>1</v>
      </c>
      <c r="I12" s="45">
        <v>38</v>
      </c>
      <c r="J12" s="45">
        <f>INCIDENCIAS!$H12*INCIDENCIAS!$I12</f>
        <v>38</v>
      </c>
      <c r="K12" s="157" t="s">
        <v>26</v>
      </c>
      <c r="L12" s="43" t="s">
        <v>50</v>
      </c>
      <c r="M12" s="43">
        <v>0</v>
      </c>
      <c r="N12" s="43">
        <v>0</v>
      </c>
      <c r="O12" s="43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</row>
    <row r="13" spans="1:108" s="86" customFormat="1" x14ac:dyDescent="0.25">
      <c r="A13" s="87"/>
      <c r="B13" s="88" t="s">
        <v>34</v>
      </c>
      <c r="C13" s="276">
        <v>46126</v>
      </c>
      <c r="D13" s="89">
        <f>WEEKNUM(INCIDENCIAS!$C13)</f>
        <v>16</v>
      </c>
      <c r="E13" s="88" t="s">
        <v>202</v>
      </c>
      <c r="F13" s="88" t="s">
        <v>44</v>
      </c>
      <c r="G13" s="89" t="s">
        <v>45</v>
      </c>
      <c r="H13" s="89">
        <v>1</v>
      </c>
      <c r="I13" s="90">
        <v>79</v>
      </c>
      <c r="J13" s="90">
        <f>INCIDENCIAS!$H13*INCIDENCIAS!$I13</f>
        <v>79</v>
      </c>
      <c r="K13" s="89" t="s">
        <v>20</v>
      </c>
      <c r="L13" s="89" t="s">
        <v>51</v>
      </c>
      <c r="M13" s="89" t="s">
        <v>52</v>
      </c>
      <c r="N13" s="89">
        <v>7501310</v>
      </c>
      <c r="O13" s="89"/>
      <c r="P13" s="97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</row>
    <row r="14" spans="1:108" s="68" customFormat="1" x14ac:dyDescent="0.25">
      <c r="A14" s="73"/>
      <c r="B14" s="74" t="s">
        <v>34</v>
      </c>
      <c r="C14" s="274">
        <v>46128</v>
      </c>
      <c r="D14" s="75">
        <f>WEEKNUM(INCIDENCIAS!$C14)</f>
        <v>16</v>
      </c>
      <c r="E14" s="74" t="s">
        <v>201</v>
      </c>
      <c r="F14" s="74" t="s">
        <v>53</v>
      </c>
      <c r="G14" s="75" t="s">
        <v>54</v>
      </c>
      <c r="H14" s="75">
        <v>1</v>
      </c>
      <c r="I14" s="76">
        <v>149</v>
      </c>
      <c r="J14" s="76">
        <f>INCIDENCIAS!$H14*INCIDENCIAS!$I14</f>
        <v>149</v>
      </c>
      <c r="K14" s="75" t="s">
        <v>20</v>
      </c>
      <c r="L14" s="75" t="s">
        <v>51</v>
      </c>
      <c r="M14" s="75" t="s">
        <v>55</v>
      </c>
      <c r="N14" s="75">
        <v>0</v>
      </c>
      <c r="O14" s="75"/>
      <c r="P14" s="97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</row>
    <row r="15" spans="1:108" s="86" customFormat="1" x14ac:dyDescent="0.25">
      <c r="A15" s="82"/>
      <c r="B15" s="83" t="s">
        <v>15</v>
      </c>
      <c r="C15" s="272">
        <v>46134</v>
      </c>
      <c r="D15" s="84">
        <f>WEEKNUM(INCIDENCIAS!$C15)</f>
        <v>17</v>
      </c>
      <c r="E15" s="83" t="s">
        <v>16</v>
      </c>
      <c r="F15" s="83" t="s">
        <v>56</v>
      </c>
      <c r="G15" s="84" t="s">
        <v>57</v>
      </c>
      <c r="H15" s="84">
        <v>1</v>
      </c>
      <c r="I15" s="85">
        <v>65</v>
      </c>
      <c r="J15" s="85">
        <f>INCIDENCIAS!$H15*INCIDENCIAS!$I15</f>
        <v>65</v>
      </c>
      <c r="K15" s="84" t="s">
        <v>58</v>
      </c>
      <c r="L15" s="84" t="s">
        <v>59</v>
      </c>
      <c r="M15" s="84" t="s">
        <v>60</v>
      </c>
      <c r="N15" s="84">
        <v>0</v>
      </c>
      <c r="O15" s="84"/>
      <c r="P15" s="97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</row>
    <row r="16" spans="1:108" s="68" customFormat="1" x14ac:dyDescent="0.25">
      <c r="A16" s="69"/>
      <c r="B16" s="70" t="s">
        <v>41</v>
      </c>
      <c r="C16" s="275">
        <v>46134</v>
      </c>
      <c r="D16" s="71">
        <f>WEEKNUM(INCIDENCIAS!$C16)</f>
        <v>17</v>
      </c>
      <c r="E16" s="70" t="s">
        <v>201</v>
      </c>
      <c r="F16" s="70" t="s">
        <v>29</v>
      </c>
      <c r="G16" s="71" t="s">
        <v>30</v>
      </c>
      <c r="H16" s="71">
        <v>1</v>
      </c>
      <c r="I16" s="72">
        <v>159</v>
      </c>
      <c r="J16" s="72">
        <f>INCIDENCIAS!$H16*INCIDENCIAS!$I16</f>
        <v>159</v>
      </c>
      <c r="K16" s="158" t="s">
        <v>26</v>
      </c>
      <c r="L16" s="71" t="s">
        <v>61</v>
      </c>
      <c r="M16" s="71" t="s">
        <v>62</v>
      </c>
      <c r="N16" s="71">
        <v>0</v>
      </c>
      <c r="O16" s="71"/>
      <c r="P16" s="97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</row>
    <row r="17" spans="1:65" x14ac:dyDescent="0.25">
      <c r="A17" s="38"/>
      <c r="B17" s="62" t="s">
        <v>63</v>
      </c>
      <c r="C17" s="270">
        <v>46136</v>
      </c>
      <c r="D17" s="43">
        <f>WEEKNUM(INCIDENCIAS!$C17)</f>
        <v>17</v>
      </c>
      <c r="E17" s="62" t="s">
        <v>202</v>
      </c>
      <c r="F17" s="62" t="s">
        <v>64</v>
      </c>
      <c r="G17" s="43" t="s">
        <v>65</v>
      </c>
      <c r="H17" s="43">
        <v>3</v>
      </c>
      <c r="I17" s="45" t="s">
        <v>66</v>
      </c>
      <c r="J17" s="45">
        <v>253.9</v>
      </c>
      <c r="K17" s="43" t="s">
        <v>58</v>
      </c>
      <c r="L17" s="43" t="s">
        <v>67</v>
      </c>
      <c r="M17" s="43" t="s">
        <v>68</v>
      </c>
      <c r="N17" s="43">
        <v>0</v>
      </c>
      <c r="O17" s="43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</row>
    <row r="18" spans="1:65" s="102" customFormat="1" x14ac:dyDescent="0.25">
      <c r="A18" s="38"/>
      <c r="B18" s="99" t="s">
        <v>85</v>
      </c>
      <c r="C18" s="269">
        <v>46136</v>
      </c>
      <c r="D18" s="43">
        <f>WEEKNUM(INCIDENCIAS!$C18)</f>
        <v>17</v>
      </c>
      <c r="E18" s="99" t="s">
        <v>201</v>
      </c>
      <c r="F18" s="99" t="s">
        <v>29</v>
      </c>
      <c r="G18" s="100" t="s">
        <v>239</v>
      </c>
      <c r="H18" s="100">
        <v>1</v>
      </c>
      <c r="I18" s="101">
        <v>109</v>
      </c>
      <c r="J18" s="101">
        <v>109</v>
      </c>
      <c r="K18" s="156" t="s">
        <v>26</v>
      </c>
      <c r="L18" s="100" t="s">
        <v>240</v>
      </c>
      <c r="M18" s="100" t="s">
        <v>231</v>
      </c>
      <c r="N18" s="100">
        <v>0</v>
      </c>
      <c r="O18" s="100"/>
      <c r="P18" s="97"/>
    </row>
    <row r="19" spans="1:65" s="68" customFormat="1" ht="15.75" customHeight="1" x14ac:dyDescent="0.25">
      <c r="A19" s="64"/>
      <c r="B19" s="65" t="s">
        <v>69</v>
      </c>
      <c r="C19" s="277">
        <v>46138</v>
      </c>
      <c r="D19" s="66">
        <f>WEEKNUM(INCIDENCIAS!$C19)</f>
        <v>18</v>
      </c>
      <c r="E19" s="65" t="s">
        <v>201</v>
      </c>
      <c r="F19" s="65" t="s">
        <v>29</v>
      </c>
      <c r="G19" s="103" t="s">
        <v>239</v>
      </c>
      <c r="H19" s="66">
        <v>1</v>
      </c>
      <c r="I19" s="67">
        <v>89</v>
      </c>
      <c r="J19" s="67">
        <f>INCIDENCIAS!$H19*INCIDENCIAS!$I19</f>
        <v>89</v>
      </c>
      <c r="K19" s="96" t="s">
        <v>58</v>
      </c>
      <c r="L19" s="66" t="s">
        <v>70</v>
      </c>
      <c r="M19" s="66" t="s">
        <v>71</v>
      </c>
      <c r="N19" s="66">
        <v>0</v>
      </c>
      <c r="O19" s="66"/>
      <c r="P19" s="97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</row>
    <row r="20" spans="1:65" ht="15.75" customHeight="1" x14ac:dyDescent="0.25">
      <c r="A20" s="38"/>
      <c r="B20" s="62" t="s">
        <v>15</v>
      </c>
      <c r="C20" s="270">
        <v>46138</v>
      </c>
      <c r="D20" s="43">
        <f>WEEKNUM(INCIDENCIAS!$C20)</f>
        <v>18</v>
      </c>
      <c r="E20" s="62" t="s">
        <v>202</v>
      </c>
      <c r="F20" s="62" t="s">
        <v>226</v>
      </c>
      <c r="G20" s="43" t="s">
        <v>30</v>
      </c>
      <c r="H20" s="43">
        <v>1</v>
      </c>
      <c r="I20" s="45">
        <v>89.9</v>
      </c>
      <c r="J20" s="45">
        <f>INCIDENCIAS!$H20*INCIDENCIAS!$I20</f>
        <v>89.9</v>
      </c>
      <c r="K20" s="43" t="s">
        <v>20</v>
      </c>
      <c r="L20" s="43" t="s">
        <v>227</v>
      </c>
      <c r="M20" s="43" t="s">
        <v>228</v>
      </c>
      <c r="N20" s="43">
        <v>0</v>
      </c>
      <c r="O20" s="43"/>
      <c r="Q20" s="98"/>
      <c r="R20" s="98"/>
      <c r="S20" s="98"/>
      <c r="T20" s="98"/>
      <c r="U20" s="98"/>
      <c r="V20" s="98"/>
      <c r="W20" s="98"/>
      <c r="X20" s="98"/>
      <c r="Y20" s="98"/>
      <c r="Z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</row>
    <row r="21" spans="1:65" ht="15.75" customHeight="1" x14ac:dyDescent="0.25">
      <c r="A21" s="38"/>
      <c r="B21" s="62" t="s">
        <v>15</v>
      </c>
      <c r="C21" s="270">
        <v>46138</v>
      </c>
      <c r="D21" s="43">
        <f>WEEKNUM(INCIDENCIAS!$C21)</f>
        <v>18</v>
      </c>
      <c r="E21" s="62" t="s">
        <v>225</v>
      </c>
      <c r="F21" s="62" t="s">
        <v>229</v>
      </c>
      <c r="G21" s="43" t="s">
        <v>230</v>
      </c>
      <c r="H21" s="43">
        <v>1</v>
      </c>
      <c r="I21" s="45">
        <v>35</v>
      </c>
      <c r="J21" s="45">
        <f>INCIDENCIAS!$H21*INCIDENCIAS!$I21</f>
        <v>35</v>
      </c>
      <c r="K21" s="157" t="s">
        <v>26</v>
      </c>
      <c r="L21" s="43" t="s">
        <v>227</v>
      </c>
      <c r="M21" s="43" t="s">
        <v>231</v>
      </c>
      <c r="N21" s="43">
        <v>0</v>
      </c>
      <c r="O21" s="43"/>
      <c r="Q21" s="98"/>
      <c r="R21" s="98"/>
      <c r="S21" s="98"/>
      <c r="T21" s="98"/>
      <c r="U21" s="98"/>
      <c r="V21" s="98"/>
      <c r="W21" s="98"/>
      <c r="X21" s="98"/>
      <c r="Y21" s="98"/>
      <c r="Z21" s="98"/>
      <c r="AB21" s="98"/>
      <c r="AC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</row>
    <row r="22" spans="1:65" ht="15.75" customHeight="1" x14ac:dyDescent="0.25">
      <c r="A22" s="38"/>
      <c r="B22" s="62" t="s">
        <v>47</v>
      </c>
      <c r="C22" s="270">
        <v>46141</v>
      </c>
      <c r="D22" s="43">
        <f>WEEKNUM(INCIDENCIAS!$C22)</f>
        <v>18</v>
      </c>
      <c r="E22" s="62" t="s">
        <v>201</v>
      </c>
      <c r="F22" s="62" t="s">
        <v>53</v>
      </c>
      <c r="G22" s="43" t="s">
        <v>30</v>
      </c>
      <c r="H22" s="43">
        <v>1</v>
      </c>
      <c r="I22" s="45">
        <v>109</v>
      </c>
      <c r="J22" s="45">
        <f>INCIDENCIAS!$H22*INCIDENCIAS!$I22</f>
        <v>109</v>
      </c>
      <c r="K22" s="157" t="s">
        <v>232</v>
      </c>
      <c r="L22" s="43" t="s">
        <v>233</v>
      </c>
      <c r="M22" s="43" t="s">
        <v>231</v>
      </c>
      <c r="N22" s="43">
        <v>0</v>
      </c>
      <c r="O22" s="43"/>
      <c r="R22" s="98"/>
      <c r="T22" s="98"/>
      <c r="U22" s="98"/>
      <c r="V22" s="98"/>
      <c r="X22" s="98"/>
      <c r="Y22" s="98"/>
      <c r="Z22" s="98"/>
      <c r="AB22" s="98"/>
      <c r="AC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</row>
    <row r="23" spans="1:65" ht="15.75" customHeight="1" x14ac:dyDescent="0.25">
      <c r="A23" s="38"/>
      <c r="B23" s="62"/>
      <c r="C23" s="43"/>
      <c r="D23" s="43"/>
      <c r="E23" s="62"/>
      <c r="F23" s="62"/>
      <c r="G23" s="43"/>
      <c r="H23" s="43"/>
      <c r="I23" s="45"/>
      <c r="J23" s="45"/>
      <c r="K23" s="43"/>
      <c r="L23" s="43"/>
      <c r="M23" s="43"/>
      <c r="N23" s="43"/>
      <c r="O23" s="43"/>
      <c r="R23" s="98"/>
      <c r="T23" s="98"/>
      <c r="U23" s="98"/>
      <c r="V23" s="98"/>
      <c r="X23" s="98"/>
      <c r="Y23" s="98"/>
      <c r="AB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</row>
    <row r="24" spans="1:65" ht="15.75" customHeight="1" x14ac:dyDescent="0.25">
      <c r="A24" s="282" t="s">
        <v>313</v>
      </c>
      <c r="B24" s="99" t="s">
        <v>47</v>
      </c>
      <c r="C24" s="270">
        <v>46144</v>
      </c>
      <c r="D24" s="43">
        <v>1</v>
      </c>
      <c r="E24" s="62" t="s">
        <v>202</v>
      </c>
      <c r="F24" s="99" t="s">
        <v>56</v>
      </c>
      <c r="G24" s="100" t="s">
        <v>234</v>
      </c>
      <c r="H24" s="43">
        <v>2</v>
      </c>
      <c r="I24" s="101" t="s">
        <v>235</v>
      </c>
      <c r="J24" s="45">
        <v>130</v>
      </c>
      <c r="K24" s="100" t="s">
        <v>20</v>
      </c>
      <c r="L24" s="100" t="s">
        <v>236</v>
      </c>
      <c r="M24" s="100" t="s">
        <v>237</v>
      </c>
      <c r="N24" s="43">
        <v>0</v>
      </c>
      <c r="O24" s="43"/>
      <c r="R24" s="98"/>
      <c r="T24" s="98"/>
      <c r="U24" s="98"/>
      <c r="V24" s="98"/>
      <c r="X24" s="98"/>
      <c r="Y24" s="98"/>
      <c r="AB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</row>
    <row r="25" spans="1:65" ht="15.75" customHeight="1" x14ac:dyDescent="0.25">
      <c r="A25" s="38"/>
      <c r="B25" s="62" t="s">
        <v>15</v>
      </c>
      <c r="C25" s="270">
        <v>46148</v>
      </c>
      <c r="D25" s="43">
        <f>WEEKNUM(INCIDENCIAS!$C25)</f>
        <v>19</v>
      </c>
      <c r="E25" s="99" t="s">
        <v>202</v>
      </c>
      <c r="F25" s="99" t="s">
        <v>284</v>
      </c>
      <c r="G25" s="100" t="s">
        <v>286</v>
      </c>
      <c r="H25" s="43">
        <v>5</v>
      </c>
      <c r="I25" s="45">
        <v>99.9</v>
      </c>
      <c r="J25" s="45">
        <f>INCIDENCIAS!$H25*INCIDENCIAS!$I25</f>
        <v>499.5</v>
      </c>
      <c r="K25" s="100" t="s">
        <v>20</v>
      </c>
      <c r="L25" s="100" t="s">
        <v>287</v>
      </c>
      <c r="M25" s="100" t="s">
        <v>231</v>
      </c>
      <c r="N25" s="43">
        <v>0</v>
      </c>
      <c r="O25" s="43"/>
      <c r="R25" s="98"/>
      <c r="T25" s="98"/>
      <c r="U25" s="98"/>
      <c r="V25" s="98"/>
      <c r="X25" s="98"/>
      <c r="AB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</row>
    <row r="26" spans="1:65" ht="15.75" customHeight="1" x14ac:dyDescent="0.25">
      <c r="A26" s="38"/>
      <c r="B26" s="62" t="s">
        <v>15</v>
      </c>
      <c r="C26" s="270">
        <v>46148</v>
      </c>
      <c r="D26" s="43">
        <f>WEEKNUM(INCIDENCIAS!$C26)</f>
        <v>19</v>
      </c>
      <c r="E26" s="62" t="s">
        <v>202</v>
      </c>
      <c r="F26" s="99" t="s">
        <v>56</v>
      </c>
      <c r="G26" s="100" t="s">
        <v>285</v>
      </c>
      <c r="H26" s="43">
        <v>2</v>
      </c>
      <c r="I26" s="45">
        <v>34.9</v>
      </c>
      <c r="J26" s="45">
        <f>INCIDENCIAS!$H26*INCIDENCIAS!$I26</f>
        <v>69.8</v>
      </c>
      <c r="K26" s="100" t="s">
        <v>20</v>
      </c>
      <c r="L26" s="100" t="s">
        <v>287</v>
      </c>
      <c r="M26" s="100" t="s">
        <v>231</v>
      </c>
      <c r="N26" s="43">
        <v>0</v>
      </c>
      <c r="O26" s="43"/>
      <c r="R26" s="98"/>
      <c r="T26" s="98"/>
      <c r="V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</row>
    <row r="27" spans="1:65" ht="15.75" customHeight="1" x14ac:dyDescent="0.25">
      <c r="A27" s="38"/>
      <c r="B27" s="62" t="s">
        <v>15</v>
      </c>
      <c r="C27" s="270">
        <v>46148</v>
      </c>
      <c r="D27" s="43">
        <f>WEEKNUM(INCIDENCIAS!$C27)</f>
        <v>19</v>
      </c>
      <c r="E27" s="62" t="s">
        <v>202</v>
      </c>
      <c r="F27" s="99" t="s">
        <v>56</v>
      </c>
      <c r="G27" s="100" t="s">
        <v>45</v>
      </c>
      <c r="H27" s="43">
        <v>1</v>
      </c>
      <c r="I27" s="45">
        <v>99</v>
      </c>
      <c r="J27" s="45">
        <f>INCIDENCIAS!$H27*INCIDENCIAS!$I27</f>
        <v>99</v>
      </c>
      <c r="K27" s="100" t="s">
        <v>20</v>
      </c>
      <c r="L27" s="100" t="s">
        <v>287</v>
      </c>
      <c r="M27" s="100" t="s">
        <v>231</v>
      </c>
      <c r="N27" s="43">
        <v>0</v>
      </c>
      <c r="O27" s="43"/>
      <c r="R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</row>
    <row r="28" spans="1:65" s="155" customFormat="1" ht="15.75" customHeight="1" x14ac:dyDescent="0.25">
      <c r="A28" s="38"/>
      <c r="B28" s="99" t="s">
        <v>34</v>
      </c>
      <c r="C28" s="269">
        <v>46148</v>
      </c>
      <c r="D28" s="100">
        <v>19</v>
      </c>
      <c r="E28" s="99" t="s">
        <v>201</v>
      </c>
      <c r="F28" s="99" t="s">
        <v>35</v>
      </c>
      <c r="G28" s="100" t="s">
        <v>30</v>
      </c>
      <c r="H28" s="100">
        <v>1</v>
      </c>
      <c r="I28" s="101">
        <v>149</v>
      </c>
      <c r="J28" s="101">
        <v>149</v>
      </c>
      <c r="K28" s="100" t="s">
        <v>20</v>
      </c>
      <c r="L28" s="100" t="s">
        <v>51</v>
      </c>
      <c r="M28" s="100" t="s">
        <v>231</v>
      </c>
      <c r="N28" s="100">
        <v>0</v>
      </c>
      <c r="O28" s="100"/>
      <c r="P28" s="97"/>
    </row>
    <row r="29" spans="1:65" ht="15.75" customHeight="1" x14ac:dyDescent="0.25">
      <c r="A29" s="38"/>
      <c r="B29" s="62" t="s">
        <v>28</v>
      </c>
      <c r="C29" s="270">
        <v>46149</v>
      </c>
      <c r="D29" s="43">
        <f>WEEKNUM(INCIDENCIAS!$C29)</f>
        <v>19</v>
      </c>
      <c r="E29" s="62" t="s">
        <v>202</v>
      </c>
      <c r="F29" s="99" t="s">
        <v>304</v>
      </c>
      <c r="G29" s="100" t="s">
        <v>286</v>
      </c>
      <c r="H29" s="43">
        <v>1</v>
      </c>
      <c r="I29" s="45">
        <v>189</v>
      </c>
      <c r="J29" s="45">
        <f>INCIDENCIAS!$H29*INCIDENCIAS!$I29</f>
        <v>189</v>
      </c>
      <c r="K29" s="100" t="s">
        <v>20</v>
      </c>
      <c r="L29" s="100" t="s">
        <v>305</v>
      </c>
      <c r="M29" s="100" t="s">
        <v>231</v>
      </c>
      <c r="N29" s="43">
        <v>0</v>
      </c>
      <c r="O29" s="43"/>
    </row>
    <row r="30" spans="1:65" ht="15.75" customHeight="1" x14ac:dyDescent="0.25">
      <c r="A30" s="38"/>
      <c r="B30" s="62" t="s">
        <v>15</v>
      </c>
      <c r="C30" s="270">
        <v>46151</v>
      </c>
      <c r="D30" s="43">
        <f>WEEKNUM(INCIDENCIAS!$C30)</f>
        <v>19</v>
      </c>
      <c r="E30" s="62" t="s">
        <v>202</v>
      </c>
      <c r="F30" s="99" t="s">
        <v>308</v>
      </c>
      <c r="G30" s="100" t="s">
        <v>45</v>
      </c>
      <c r="H30" s="43">
        <v>2</v>
      </c>
      <c r="I30" s="45">
        <v>99</v>
      </c>
      <c r="J30" s="45">
        <f>INCIDENCIAS!$H30*INCIDENCIAS!$I30</f>
        <v>198</v>
      </c>
      <c r="K30" s="100" t="s">
        <v>20</v>
      </c>
      <c r="L30" s="100" t="s">
        <v>307</v>
      </c>
      <c r="M30" s="100" t="s">
        <v>306</v>
      </c>
      <c r="N30" s="43">
        <v>0</v>
      </c>
      <c r="O30" s="43"/>
    </row>
    <row r="31" spans="1:65" ht="15.75" customHeight="1" x14ac:dyDescent="0.25">
      <c r="A31" s="38"/>
      <c r="B31" s="62" t="s">
        <v>69</v>
      </c>
      <c r="C31" s="270">
        <v>46151</v>
      </c>
      <c r="D31" s="43">
        <f>WEEKNUM(INCIDENCIAS!$C31)</f>
        <v>19</v>
      </c>
      <c r="E31" s="62" t="s">
        <v>201</v>
      </c>
      <c r="F31" s="99" t="s">
        <v>35</v>
      </c>
      <c r="G31" s="100" t="s">
        <v>309</v>
      </c>
      <c r="H31" s="43">
        <v>1</v>
      </c>
      <c r="I31" s="45">
        <v>389</v>
      </c>
      <c r="J31" s="45">
        <f>INCIDENCIAS!$H31*INCIDENCIAS!$I31</f>
        <v>389</v>
      </c>
      <c r="K31" s="156" t="s">
        <v>26</v>
      </c>
      <c r="L31" s="100" t="s">
        <v>310</v>
      </c>
      <c r="M31" s="100" t="s">
        <v>231</v>
      </c>
      <c r="N31" s="43">
        <v>0</v>
      </c>
      <c r="O31" s="43"/>
    </row>
    <row r="32" spans="1:65" ht="15.75" customHeight="1" x14ac:dyDescent="0.25">
      <c r="A32" s="38"/>
      <c r="B32" s="62" t="s">
        <v>47</v>
      </c>
      <c r="C32" s="270">
        <v>46156</v>
      </c>
      <c r="D32" s="43">
        <f>WEEKNUM(INCIDENCIAS!$C32)</f>
        <v>20</v>
      </c>
      <c r="E32" s="62" t="s">
        <v>201</v>
      </c>
      <c r="F32" s="99" t="s">
        <v>35</v>
      </c>
      <c r="G32" s="100" t="s">
        <v>311</v>
      </c>
      <c r="H32" s="43">
        <v>1</v>
      </c>
      <c r="I32" s="45">
        <v>69</v>
      </c>
      <c r="J32" s="45">
        <f>INCIDENCIAS!$H32*INCIDENCIAS!$I32</f>
        <v>69</v>
      </c>
      <c r="K32" s="156" t="s">
        <v>26</v>
      </c>
      <c r="L32" s="100" t="s">
        <v>312</v>
      </c>
      <c r="M32" s="43">
        <v>0</v>
      </c>
      <c r="N32" s="43">
        <v>0</v>
      </c>
      <c r="O32" s="43"/>
    </row>
    <row r="33" spans="1:16" ht="15.75" customHeight="1" x14ac:dyDescent="0.25">
      <c r="A33" s="38"/>
      <c r="B33" s="62" t="s">
        <v>34</v>
      </c>
      <c r="C33" s="270">
        <v>46158</v>
      </c>
      <c r="D33" s="43">
        <f>WEEKNUM(INCIDENCIAS!$C33)</f>
        <v>20</v>
      </c>
      <c r="E33" s="62" t="s">
        <v>202</v>
      </c>
      <c r="F33" s="99" t="s">
        <v>304</v>
      </c>
      <c r="G33" s="100" t="s">
        <v>314</v>
      </c>
      <c r="H33" s="43">
        <v>1</v>
      </c>
      <c r="I33" s="45">
        <v>81</v>
      </c>
      <c r="J33" s="45">
        <f>INCIDENCIAS!$H33*INCIDENCIAS!$I33</f>
        <v>81</v>
      </c>
      <c r="K33" s="100" t="s">
        <v>58</v>
      </c>
      <c r="L33" s="100" t="s">
        <v>51</v>
      </c>
      <c r="M33" s="100" t="s">
        <v>231</v>
      </c>
      <c r="N33" s="43">
        <v>0</v>
      </c>
      <c r="O33" s="43"/>
    </row>
    <row r="34" spans="1:16" ht="15.75" customHeight="1" x14ac:dyDescent="0.25">
      <c r="A34" s="38"/>
      <c r="B34" s="62" t="s">
        <v>15</v>
      </c>
      <c r="C34" s="270">
        <v>46158</v>
      </c>
      <c r="D34" s="43">
        <f>WEEKNUM(INCIDENCIAS!$C34)</f>
        <v>20</v>
      </c>
      <c r="E34" s="62" t="s">
        <v>202</v>
      </c>
      <c r="F34" s="99" t="s">
        <v>284</v>
      </c>
      <c r="G34" s="100" t="s">
        <v>315</v>
      </c>
      <c r="H34" s="43">
        <v>1</v>
      </c>
      <c r="I34" s="45">
        <v>39.9</v>
      </c>
      <c r="J34" s="45">
        <f>INCIDENCIAS!$H34*INCIDENCIAS!$I34</f>
        <v>39.9</v>
      </c>
      <c r="K34" s="100" t="s">
        <v>58</v>
      </c>
      <c r="L34" s="100" t="s">
        <v>316</v>
      </c>
      <c r="M34" s="100" t="s">
        <v>231</v>
      </c>
      <c r="N34" s="43">
        <v>0</v>
      </c>
      <c r="O34" s="43"/>
    </row>
    <row r="35" spans="1:16" ht="15.75" customHeight="1" x14ac:dyDescent="0.25">
      <c r="A35" s="38"/>
      <c r="B35" s="62" t="s">
        <v>90</v>
      </c>
      <c r="C35" s="270">
        <v>46162</v>
      </c>
      <c r="D35" s="43">
        <f>WEEKNUM(INCIDENCIAS!$C35)</f>
        <v>21</v>
      </c>
      <c r="E35" s="62" t="s">
        <v>201</v>
      </c>
      <c r="F35" s="99" t="s">
        <v>35</v>
      </c>
      <c r="G35" s="100" t="s">
        <v>30</v>
      </c>
      <c r="H35" s="43">
        <v>1</v>
      </c>
      <c r="I35" s="45">
        <v>119</v>
      </c>
      <c r="J35" s="45">
        <f>INCIDENCIAS!$H35*INCIDENCIAS!$I35</f>
        <v>119</v>
      </c>
      <c r="K35" s="156" t="s">
        <v>26</v>
      </c>
      <c r="L35" s="100" t="s">
        <v>310</v>
      </c>
      <c r="M35" s="43">
        <v>0</v>
      </c>
      <c r="N35" s="43">
        <v>0</v>
      </c>
      <c r="O35" s="43"/>
    </row>
    <row r="36" spans="1:16" ht="15.75" customHeight="1" x14ac:dyDescent="0.25">
      <c r="A36" s="38"/>
      <c r="B36" s="62" t="s">
        <v>47</v>
      </c>
      <c r="C36" s="270">
        <v>46167</v>
      </c>
      <c r="D36" s="43">
        <f>WEEKNUM(INCIDENCIAS!$C36)</f>
        <v>22</v>
      </c>
      <c r="E36" s="62" t="s">
        <v>225</v>
      </c>
      <c r="F36" s="99" t="s">
        <v>317</v>
      </c>
      <c r="G36" s="43"/>
      <c r="H36" s="43">
        <v>1</v>
      </c>
      <c r="I36" s="45">
        <v>60</v>
      </c>
      <c r="J36" s="45">
        <f>INCIDENCIAS!$H36*INCIDENCIAS!$I36</f>
        <v>60</v>
      </c>
      <c r="K36" s="156" t="s">
        <v>26</v>
      </c>
      <c r="L36" s="100" t="s">
        <v>310</v>
      </c>
      <c r="M36" s="43">
        <v>0</v>
      </c>
      <c r="N36" s="43">
        <v>0</v>
      </c>
      <c r="O36" s="43"/>
    </row>
    <row r="37" spans="1:16" ht="15.75" customHeight="1" x14ac:dyDescent="0.25">
      <c r="A37" s="38"/>
      <c r="B37" s="62" t="s">
        <v>85</v>
      </c>
      <c r="C37" s="270">
        <v>46170</v>
      </c>
      <c r="D37" s="43">
        <f>WEEKNUM(INCIDENCIAS!$C37)</f>
        <v>22</v>
      </c>
      <c r="E37" s="62" t="s">
        <v>201</v>
      </c>
      <c r="F37" s="99" t="s">
        <v>35</v>
      </c>
      <c r="G37" s="100" t="s">
        <v>359</v>
      </c>
      <c r="H37" s="43">
        <v>1</v>
      </c>
      <c r="I37" s="45">
        <v>79</v>
      </c>
      <c r="J37" s="45">
        <f>INCIDENCIAS!$H37*INCIDENCIAS!$I37</f>
        <v>79</v>
      </c>
      <c r="K37" s="156" t="s">
        <v>26</v>
      </c>
      <c r="L37" s="100" t="s">
        <v>310</v>
      </c>
      <c r="M37" s="43">
        <v>0</v>
      </c>
      <c r="N37" s="43">
        <v>0</v>
      </c>
      <c r="O37" s="43"/>
    </row>
    <row r="38" spans="1:16" ht="15.75" customHeight="1" x14ac:dyDescent="0.25">
      <c r="A38" s="38"/>
      <c r="B38" s="62" t="s">
        <v>81</v>
      </c>
      <c r="C38" s="270">
        <v>46171</v>
      </c>
      <c r="D38" s="43">
        <f>WEEKNUM(INCIDENCIAS!$C38)</f>
        <v>22</v>
      </c>
      <c r="E38" s="62" t="s">
        <v>202</v>
      </c>
      <c r="F38" s="99" t="s">
        <v>56</v>
      </c>
      <c r="G38" s="100" t="s">
        <v>234</v>
      </c>
      <c r="H38" s="43">
        <v>1</v>
      </c>
      <c r="I38" s="101">
        <v>65</v>
      </c>
      <c r="J38" s="45">
        <f>INCIDENCIAS!$H38*INCIDENCIAS!$I38</f>
        <v>65</v>
      </c>
      <c r="K38" s="100" t="s">
        <v>58</v>
      </c>
      <c r="L38" s="100" t="s">
        <v>362</v>
      </c>
      <c r="M38" s="100" t="s">
        <v>231</v>
      </c>
      <c r="N38" s="43">
        <v>0</v>
      </c>
      <c r="O38" s="43"/>
    </row>
    <row r="39" spans="1:16" ht="15.75" customHeight="1" x14ac:dyDescent="0.25">
      <c r="A39" s="38"/>
      <c r="B39" s="62" t="s">
        <v>81</v>
      </c>
      <c r="C39" s="270">
        <v>46171</v>
      </c>
      <c r="D39" s="43">
        <f>WEEKNUM(INCIDENCIAS!$C39)</f>
        <v>22</v>
      </c>
      <c r="E39" s="62" t="s">
        <v>202</v>
      </c>
      <c r="F39" s="99" t="s">
        <v>360</v>
      </c>
      <c r="G39" s="100" t="s">
        <v>45</v>
      </c>
      <c r="H39" s="43">
        <v>1</v>
      </c>
      <c r="I39" s="45">
        <v>79</v>
      </c>
      <c r="J39" s="45">
        <f>INCIDENCIAS!$H39*INCIDENCIAS!$I39</f>
        <v>79</v>
      </c>
      <c r="K39" s="100" t="s">
        <v>58</v>
      </c>
      <c r="L39" s="100" t="s">
        <v>362</v>
      </c>
      <c r="M39" s="100" t="s">
        <v>231</v>
      </c>
      <c r="N39" s="43">
        <v>0</v>
      </c>
      <c r="O39" s="240"/>
    </row>
    <row r="40" spans="1:16" ht="15.75" customHeight="1" x14ac:dyDescent="0.25">
      <c r="A40" s="38"/>
      <c r="B40" s="62" t="s">
        <v>85</v>
      </c>
      <c r="C40" s="270">
        <v>46172</v>
      </c>
      <c r="D40" s="43">
        <f>WEEKNUM(INCIDENCIAS!$C40)</f>
        <v>22</v>
      </c>
      <c r="E40" s="62" t="s">
        <v>201</v>
      </c>
      <c r="F40" s="99" t="s">
        <v>35</v>
      </c>
      <c r="G40" s="100" t="s">
        <v>363</v>
      </c>
      <c r="H40" s="43">
        <v>1</v>
      </c>
      <c r="I40" s="45">
        <v>99</v>
      </c>
      <c r="J40" s="45">
        <f>INCIDENCIAS!$H40*INCIDENCIAS!$I40</f>
        <v>99</v>
      </c>
      <c r="K40" s="156" t="s">
        <v>26</v>
      </c>
      <c r="L40" s="100" t="s">
        <v>310</v>
      </c>
      <c r="M40" s="43">
        <v>0</v>
      </c>
      <c r="N40" s="43">
        <v>0</v>
      </c>
      <c r="O40" s="43"/>
    </row>
    <row r="41" spans="1:16" ht="15.75" customHeight="1" x14ac:dyDescent="0.25">
      <c r="A41" s="38"/>
      <c r="B41" s="62" t="s">
        <v>85</v>
      </c>
      <c r="C41" s="270">
        <v>46172</v>
      </c>
      <c r="D41" s="43">
        <f>WEEKNUM(INCIDENCIAS!$C41)</f>
        <v>22</v>
      </c>
      <c r="E41" s="62" t="s">
        <v>202</v>
      </c>
      <c r="F41" s="99" t="s">
        <v>364</v>
      </c>
      <c r="G41" s="100" t="s">
        <v>366</v>
      </c>
      <c r="H41" s="43">
        <v>1</v>
      </c>
      <c r="I41" s="45">
        <v>59.9</v>
      </c>
      <c r="J41" s="45">
        <f>INCIDENCIAS!$H41*INCIDENCIAS!$I41</f>
        <v>59.9</v>
      </c>
      <c r="K41" s="100" t="s">
        <v>58</v>
      </c>
      <c r="L41" s="100" t="s">
        <v>365</v>
      </c>
      <c r="M41" s="100" t="s">
        <v>231</v>
      </c>
      <c r="N41" s="43">
        <v>0</v>
      </c>
      <c r="O41" s="43"/>
    </row>
    <row r="42" spans="1:16" ht="15.75" customHeight="1" x14ac:dyDescent="0.25">
      <c r="A42" s="38"/>
      <c r="B42" s="62" t="s">
        <v>85</v>
      </c>
      <c r="C42" s="270">
        <v>46172</v>
      </c>
      <c r="D42" s="43">
        <f>WEEKNUM(INCIDENCIAS!$C42)</f>
        <v>22</v>
      </c>
      <c r="E42" s="62" t="s">
        <v>202</v>
      </c>
      <c r="F42" s="99" t="s">
        <v>364</v>
      </c>
      <c r="G42" s="100" t="s">
        <v>367</v>
      </c>
      <c r="H42" s="43">
        <v>1</v>
      </c>
      <c r="I42" s="45">
        <v>68</v>
      </c>
      <c r="J42" s="45">
        <f>INCIDENCIAS!$H42*INCIDENCIAS!$I42</f>
        <v>68</v>
      </c>
      <c r="K42" s="100" t="s">
        <v>58</v>
      </c>
      <c r="L42" s="100" t="s">
        <v>365</v>
      </c>
      <c r="M42" s="100" t="s">
        <v>231</v>
      </c>
      <c r="N42" s="43">
        <v>0</v>
      </c>
      <c r="O42" s="43"/>
    </row>
    <row r="43" spans="1:16" ht="15.75" customHeight="1" x14ac:dyDescent="0.25">
      <c r="A43" s="38"/>
      <c r="B43" s="62" t="s">
        <v>63</v>
      </c>
      <c r="C43" s="270">
        <v>46173</v>
      </c>
      <c r="D43" s="43">
        <f>WEEKNUM(INCIDENCIAS!$C43)</f>
        <v>23</v>
      </c>
      <c r="E43" s="62" t="s">
        <v>201</v>
      </c>
      <c r="F43" s="99" t="s">
        <v>35</v>
      </c>
      <c r="G43" s="100" t="s">
        <v>30</v>
      </c>
      <c r="H43" s="43">
        <v>1</v>
      </c>
      <c r="I43" s="45">
        <v>169</v>
      </c>
      <c r="J43" s="45">
        <f>INCIDENCIAS!$H43*INCIDENCIAS!$I43</f>
        <v>169</v>
      </c>
      <c r="K43" s="100" t="s">
        <v>58</v>
      </c>
      <c r="L43" s="100" t="s">
        <v>376</v>
      </c>
      <c r="M43" s="100" t="s">
        <v>237</v>
      </c>
      <c r="N43" s="43">
        <v>0</v>
      </c>
      <c r="O43" s="43"/>
    </row>
    <row r="44" spans="1:16" s="242" customFormat="1" ht="15.75" customHeight="1" x14ac:dyDescent="0.25">
      <c r="A44" s="38"/>
      <c r="B44" s="99"/>
      <c r="C44" s="269"/>
      <c r="D44" s="100"/>
      <c r="E44" s="99"/>
      <c r="F44" s="99"/>
      <c r="G44" s="100"/>
      <c r="H44" s="100"/>
      <c r="I44" s="101"/>
      <c r="J44" s="101"/>
      <c r="K44" s="100"/>
      <c r="L44" s="100"/>
      <c r="M44" s="100"/>
      <c r="N44" s="100"/>
      <c r="O44" s="100"/>
      <c r="P44" s="97"/>
    </row>
    <row r="45" spans="1:16" ht="15.75" customHeight="1" x14ac:dyDescent="0.25">
      <c r="A45" s="282" t="s">
        <v>380</v>
      </c>
      <c r="B45" s="62" t="s">
        <v>81</v>
      </c>
      <c r="C45" s="270">
        <v>46175</v>
      </c>
      <c r="D45" s="43">
        <f>WEEKNUM(INCIDENCIAS!$C45)</f>
        <v>23</v>
      </c>
      <c r="E45" s="62" t="s">
        <v>225</v>
      </c>
      <c r="F45" s="99" t="s">
        <v>229</v>
      </c>
      <c r="G45" s="100" t="s">
        <v>377</v>
      </c>
      <c r="H45" s="43">
        <v>1</v>
      </c>
      <c r="I45" s="45">
        <v>24.9</v>
      </c>
      <c r="J45" s="45">
        <f>INCIDENCIAS!$H45*INCIDENCIAS!$I45</f>
        <v>24.9</v>
      </c>
      <c r="K45" s="156" t="s">
        <v>26</v>
      </c>
      <c r="L45" s="100" t="s">
        <v>378</v>
      </c>
      <c r="M45" s="100" t="s">
        <v>379</v>
      </c>
      <c r="N45" s="43">
        <v>0</v>
      </c>
      <c r="O45" s="43"/>
    </row>
    <row r="46" spans="1:16" ht="15.75" customHeight="1" x14ac:dyDescent="0.25">
      <c r="A46" s="38"/>
      <c r="B46" s="62" t="s">
        <v>47</v>
      </c>
      <c r="C46" s="270">
        <v>46178</v>
      </c>
      <c r="D46" s="43">
        <f>WEEKNUM(INCIDENCIAS!$C46)</f>
        <v>23</v>
      </c>
      <c r="E46" s="62" t="s">
        <v>202</v>
      </c>
      <c r="F46" s="99" t="s">
        <v>56</v>
      </c>
      <c r="G46" s="84" t="s">
        <v>38</v>
      </c>
      <c r="H46" s="43">
        <v>4</v>
      </c>
      <c r="I46" s="45">
        <v>20</v>
      </c>
      <c r="J46" s="45">
        <f>INCIDENCIAS!$H46*INCIDENCIAS!$I46</f>
        <v>80</v>
      </c>
      <c r="K46" s="156" t="s">
        <v>26</v>
      </c>
      <c r="L46" s="100" t="s">
        <v>389</v>
      </c>
      <c r="M46" s="100" t="s">
        <v>390</v>
      </c>
      <c r="N46" s="43">
        <v>0</v>
      </c>
      <c r="O46" s="43"/>
    </row>
    <row r="47" spans="1:16" s="245" customFormat="1" ht="15.75" customHeight="1" x14ac:dyDescent="0.25">
      <c r="A47" s="38"/>
      <c r="B47" s="99" t="s">
        <v>41</v>
      </c>
      <c r="C47" s="269">
        <v>46178</v>
      </c>
      <c r="D47" s="43">
        <f>WEEKNUM(INCIDENCIAS!$C47)</f>
        <v>23</v>
      </c>
      <c r="E47" s="99" t="s">
        <v>201</v>
      </c>
      <c r="F47" s="99" t="s">
        <v>35</v>
      </c>
      <c r="G47" s="268" t="s">
        <v>393</v>
      </c>
      <c r="H47" s="100">
        <v>1</v>
      </c>
      <c r="I47" s="101">
        <v>139</v>
      </c>
      <c r="J47" s="101">
        <v>139</v>
      </c>
      <c r="K47" s="156" t="s">
        <v>26</v>
      </c>
      <c r="L47" s="100" t="s">
        <v>310</v>
      </c>
      <c r="M47" s="100" t="s">
        <v>394</v>
      </c>
      <c r="N47" s="43">
        <v>0</v>
      </c>
      <c r="O47" s="100"/>
      <c r="P47" s="97"/>
    </row>
    <row r="48" spans="1:16" s="245" customFormat="1" ht="15.75" customHeight="1" x14ac:dyDescent="0.25">
      <c r="A48" s="38"/>
      <c r="B48" s="99" t="s">
        <v>41</v>
      </c>
      <c r="C48" s="269">
        <v>46178</v>
      </c>
      <c r="D48" s="43">
        <f>WEEKNUM(INCIDENCIAS!$C48)</f>
        <v>23</v>
      </c>
      <c r="E48" s="99" t="s">
        <v>201</v>
      </c>
      <c r="F48" s="99" t="s">
        <v>35</v>
      </c>
      <c r="G48" s="268" t="s">
        <v>393</v>
      </c>
      <c r="H48" s="100">
        <v>1</v>
      </c>
      <c r="I48" s="101">
        <v>159</v>
      </c>
      <c r="J48" s="101">
        <v>159</v>
      </c>
      <c r="K48" s="156" t="s">
        <v>26</v>
      </c>
      <c r="L48" s="100" t="s">
        <v>310</v>
      </c>
      <c r="M48" s="100" t="s">
        <v>395</v>
      </c>
      <c r="N48" s="43">
        <v>0</v>
      </c>
      <c r="O48" s="100"/>
      <c r="P48" s="97"/>
    </row>
    <row r="49" spans="1:16" s="245" customFormat="1" ht="15.75" customHeight="1" x14ac:dyDescent="0.25">
      <c r="A49" s="38"/>
      <c r="B49" s="99" t="s">
        <v>41</v>
      </c>
      <c r="C49" s="269">
        <v>46178</v>
      </c>
      <c r="D49" s="43">
        <f>WEEKNUM(INCIDENCIAS!$C49)</f>
        <v>23</v>
      </c>
      <c r="E49" s="99" t="s">
        <v>201</v>
      </c>
      <c r="F49" s="99" t="s">
        <v>35</v>
      </c>
      <c r="G49" s="268" t="s">
        <v>30</v>
      </c>
      <c r="H49" s="100">
        <v>1</v>
      </c>
      <c r="I49" s="101">
        <v>270</v>
      </c>
      <c r="J49" s="101">
        <v>270</v>
      </c>
      <c r="K49" s="156" t="s">
        <v>26</v>
      </c>
      <c r="L49" s="100" t="s">
        <v>310</v>
      </c>
      <c r="M49" s="100" t="s">
        <v>390</v>
      </c>
      <c r="N49" s="100">
        <v>0</v>
      </c>
      <c r="O49" s="100"/>
      <c r="P49" s="97"/>
    </row>
    <row r="50" spans="1:16" ht="15.75" customHeight="1" x14ac:dyDescent="0.25">
      <c r="A50" s="38"/>
      <c r="B50" s="62" t="s">
        <v>15</v>
      </c>
      <c r="C50" s="270">
        <v>46180</v>
      </c>
      <c r="D50" s="43">
        <f>WEEKNUM(INCIDENCIAS!$C50)</f>
        <v>24</v>
      </c>
      <c r="E50" s="62" t="s">
        <v>202</v>
      </c>
      <c r="F50" s="99" t="s">
        <v>304</v>
      </c>
      <c r="G50" s="100" t="s">
        <v>391</v>
      </c>
      <c r="H50" s="43">
        <v>1</v>
      </c>
      <c r="I50" s="45">
        <v>80</v>
      </c>
      <c r="J50" s="45">
        <f>INCIDENCIAS!$H50*INCIDENCIAS!$I50</f>
        <v>80</v>
      </c>
      <c r="K50" s="100" t="s">
        <v>39</v>
      </c>
      <c r="L50" s="100" t="s">
        <v>392</v>
      </c>
      <c r="M50" s="100" t="s">
        <v>379</v>
      </c>
      <c r="N50" s="43">
        <v>0</v>
      </c>
      <c r="O50" s="43"/>
    </row>
    <row r="51" spans="1:16" ht="15.75" customHeight="1" x14ac:dyDescent="0.25">
      <c r="A51" s="38"/>
      <c r="B51" s="62" t="s">
        <v>15</v>
      </c>
      <c r="C51" s="270">
        <v>46181</v>
      </c>
      <c r="D51" s="43">
        <f>WEEKNUM(INCIDENCIAS!$C51)</f>
        <v>24</v>
      </c>
      <c r="E51" s="62" t="s">
        <v>201</v>
      </c>
      <c r="F51" s="99" t="s">
        <v>35</v>
      </c>
      <c r="G51" s="84" t="s">
        <v>38</v>
      </c>
      <c r="H51" s="43">
        <v>1</v>
      </c>
      <c r="I51" s="45">
        <v>359</v>
      </c>
      <c r="J51" s="45">
        <f>INCIDENCIAS!$H51*INCIDENCIAS!$I51</f>
        <v>359</v>
      </c>
      <c r="K51" s="100" t="s">
        <v>39</v>
      </c>
      <c r="L51" s="100" t="s">
        <v>310</v>
      </c>
      <c r="M51" s="43">
        <v>0</v>
      </c>
      <c r="N51" s="43">
        <v>0</v>
      </c>
      <c r="O51" s="43"/>
    </row>
    <row r="52" spans="1:16" ht="15.75" customHeight="1" x14ac:dyDescent="0.25">
      <c r="A52" s="38"/>
      <c r="B52" s="62" t="s">
        <v>15</v>
      </c>
      <c r="C52" s="270">
        <v>46182</v>
      </c>
      <c r="D52" s="43">
        <f>WEEKNUM(INCIDENCIAS!$C52)</f>
        <v>24</v>
      </c>
      <c r="E52" s="62" t="s">
        <v>202</v>
      </c>
      <c r="F52" s="99" t="s">
        <v>56</v>
      </c>
      <c r="G52" s="100" t="s">
        <v>45</v>
      </c>
      <c r="H52" s="43">
        <v>1</v>
      </c>
      <c r="I52" s="45">
        <v>79</v>
      </c>
      <c r="J52" s="45">
        <f>INCIDENCIAS!$H52*INCIDENCIAS!$I52</f>
        <v>79</v>
      </c>
      <c r="K52" s="156" t="s">
        <v>26</v>
      </c>
      <c r="L52" s="100" t="s">
        <v>310</v>
      </c>
      <c r="M52" s="100" t="s">
        <v>379</v>
      </c>
      <c r="N52" s="43">
        <v>0</v>
      </c>
      <c r="O52" s="43"/>
    </row>
    <row r="53" spans="1:16" ht="15.75" customHeight="1" x14ac:dyDescent="0.25">
      <c r="A53" s="38"/>
      <c r="B53" s="62" t="s">
        <v>85</v>
      </c>
      <c r="C53" s="270">
        <v>46183</v>
      </c>
      <c r="D53" s="43">
        <f>WEEKNUM(INCIDENCIAS!$C53)</f>
        <v>24</v>
      </c>
      <c r="E53" s="62" t="s">
        <v>225</v>
      </c>
      <c r="F53" s="99" t="s">
        <v>396</v>
      </c>
      <c r="G53" s="43" t="s">
        <v>49</v>
      </c>
      <c r="H53" s="43">
        <v>2</v>
      </c>
      <c r="I53" s="101">
        <v>101</v>
      </c>
      <c r="J53" s="45">
        <v>202</v>
      </c>
      <c r="K53" s="156" t="s">
        <v>26</v>
      </c>
      <c r="L53" s="100" t="s">
        <v>310</v>
      </c>
      <c r="M53" s="43">
        <v>0</v>
      </c>
      <c r="N53" s="43">
        <v>0</v>
      </c>
      <c r="O53" s="43"/>
    </row>
    <row r="54" spans="1:16" ht="15.75" customHeight="1" x14ac:dyDescent="0.25">
      <c r="A54" s="38"/>
      <c r="B54" s="62" t="s">
        <v>47</v>
      </c>
      <c r="C54" s="270">
        <v>46184</v>
      </c>
      <c r="D54" s="43">
        <f>WEEKNUM(INCIDENCIAS!$C54)</f>
        <v>24</v>
      </c>
      <c r="E54" s="62" t="s">
        <v>201</v>
      </c>
      <c r="F54" s="99" t="s">
        <v>35</v>
      </c>
      <c r="G54" s="100" t="s">
        <v>30</v>
      </c>
      <c r="H54" s="43">
        <v>1</v>
      </c>
      <c r="I54" s="45">
        <v>189</v>
      </c>
      <c r="J54" s="45">
        <f>INCIDENCIAS!$H54*INCIDENCIAS!$I54</f>
        <v>189</v>
      </c>
      <c r="K54" s="100" t="s">
        <v>39</v>
      </c>
      <c r="L54" s="100" t="s">
        <v>416</v>
      </c>
      <c r="M54" s="100" t="s">
        <v>417</v>
      </c>
      <c r="N54" s="43">
        <v>0</v>
      </c>
      <c r="O54" s="43"/>
    </row>
    <row r="55" spans="1:16" ht="15.75" customHeight="1" x14ac:dyDescent="0.25">
      <c r="A55" s="38"/>
      <c r="B55" s="62" t="s">
        <v>47</v>
      </c>
      <c r="C55" s="270">
        <v>46184</v>
      </c>
      <c r="D55" s="43">
        <f>WEEKNUM(INCIDENCIAS!$C55)</f>
        <v>24</v>
      </c>
      <c r="E55" s="62" t="s">
        <v>201</v>
      </c>
      <c r="F55" s="99" t="s">
        <v>35</v>
      </c>
      <c r="G55" s="100" t="s">
        <v>418</v>
      </c>
      <c r="H55" s="43">
        <v>1</v>
      </c>
      <c r="I55" s="45">
        <v>149</v>
      </c>
      <c r="J55" s="45">
        <f>INCIDENCIAS!$H55*INCIDENCIAS!$I55</f>
        <v>149</v>
      </c>
      <c r="K55" s="100" t="s">
        <v>39</v>
      </c>
      <c r="L55" s="100" t="s">
        <v>416</v>
      </c>
      <c r="M55" s="100" t="s">
        <v>379</v>
      </c>
      <c r="N55" s="43">
        <v>0</v>
      </c>
      <c r="O55" s="43"/>
    </row>
    <row r="56" spans="1:16" ht="15.75" customHeight="1" x14ac:dyDescent="0.25">
      <c r="A56" s="38"/>
      <c r="B56" s="62" t="s">
        <v>84</v>
      </c>
      <c r="C56" s="270">
        <v>46184</v>
      </c>
      <c r="D56" s="43">
        <f>WEEKNUM(INCIDENCIAS!$C56)</f>
        <v>24</v>
      </c>
      <c r="E56" s="62" t="s">
        <v>201</v>
      </c>
      <c r="F56" s="99" t="s">
        <v>35</v>
      </c>
      <c r="G56" s="100" t="s">
        <v>419</v>
      </c>
      <c r="H56" s="43">
        <v>1</v>
      </c>
      <c r="I56" s="45">
        <v>99</v>
      </c>
      <c r="J56" s="45">
        <f>INCIDENCIAS!$H56*INCIDENCIAS!$I56</f>
        <v>99</v>
      </c>
      <c r="K56" s="156" t="s">
        <v>26</v>
      </c>
      <c r="L56" s="100" t="s">
        <v>310</v>
      </c>
      <c r="M56" s="43">
        <v>0</v>
      </c>
      <c r="N56" s="43">
        <v>0</v>
      </c>
      <c r="O56" s="43"/>
    </row>
    <row r="57" spans="1:16" ht="15.75" customHeight="1" x14ac:dyDescent="0.25">
      <c r="A57" s="38"/>
      <c r="B57" s="62" t="s">
        <v>84</v>
      </c>
      <c r="C57" s="270">
        <v>46187</v>
      </c>
      <c r="D57" s="43">
        <f>WEEKNUM(INCIDENCIAS!$C57)</f>
        <v>25</v>
      </c>
      <c r="E57" s="62" t="s">
        <v>225</v>
      </c>
      <c r="F57" s="99" t="s">
        <v>420</v>
      </c>
      <c r="G57" s="43"/>
      <c r="H57" s="43">
        <v>1</v>
      </c>
      <c r="I57" s="45">
        <v>9</v>
      </c>
      <c r="J57" s="45">
        <f>INCIDENCIAS!$H57*INCIDENCIAS!$I57</f>
        <v>9</v>
      </c>
      <c r="K57" s="156" t="s">
        <v>26</v>
      </c>
      <c r="L57" s="100" t="s">
        <v>310</v>
      </c>
      <c r="M57" s="43">
        <v>0</v>
      </c>
      <c r="N57" s="43">
        <v>0</v>
      </c>
      <c r="O57" s="43"/>
    </row>
    <row r="58" spans="1:16" ht="15.75" customHeight="1" x14ac:dyDescent="0.25">
      <c r="A58" s="38"/>
      <c r="B58" s="62" t="s">
        <v>84</v>
      </c>
      <c r="C58" s="270">
        <v>46191</v>
      </c>
      <c r="D58" s="43">
        <f>WEEKNUM(INCIDENCIAS!$C58)</f>
        <v>25</v>
      </c>
      <c r="E58" s="62" t="s">
        <v>225</v>
      </c>
      <c r="F58" s="99" t="s">
        <v>421</v>
      </c>
      <c r="G58" s="43"/>
      <c r="H58" s="43">
        <v>1</v>
      </c>
      <c r="I58" s="45">
        <v>3.5</v>
      </c>
      <c r="J58" s="45">
        <f>INCIDENCIAS!$H58*INCIDENCIAS!$I58</f>
        <v>3.5</v>
      </c>
      <c r="K58" s="156" t="s">
        <v>26</v>
      </c>
      <c r="L58" s="100" t="s">
        <v>310</v>
      </c>
      <c r="M58" s="43">
        <v>0</v>
      </c>
      <c r="N58" s="43">
        <v>0</v>
      </c>
      <c r="O58" s="43"/>
    </row>
    <row r="59" spans="1:16" ht="15.75" customHeight="1" x14ac:dyDescent="0.25">
      <c r="A59" s="38"/>
      <c r="B59" s="62" t="s">
        <v>47</v>
      </c>
      <c r="C59" s="270">
        <v>46191</v>
      </c>
      <c r="D59" s="43">
        <f>WEEKNUM(INCIDENCIAS!$C59)</f>
        <v>25</v>
      </c>
      <c r="E59" s="62" t="s">
        <v>201</v>
      </c>
      <c r="F59" s="99" t="s">
        <v>35</v>
      </c>
      <c r="G59" s="100" t="s">
        <v>422</v>
      </c>
      <c r="H59" s="43">
        <v>1</v>
      </c>
      <c r="I59" s="45">
        <v>99</v>
      </c>
      <c r="J59" s="45">
        <f>INCIDENCIAS!$H59*INCIDENCIAS!$I59</f>
        <v>99</v>
      </c>
      <c r="K59" s="156" t="s">
        <v>26</v>
      </c>
      <c r="L59" s="100" t="s">
        <v>310</v>
      </c>
      <c r="M59" s="43">
        <v>0</v>
      </c>
      <c r="N59" s="43">
        <v>0</v>
      </c>
      <c r="O59" s="43"/>
    </row>
    <row r="60" spans="1:16" ht="15.75" customHeight="1" x14ac:dyDescent="0.25">
      <c r="A60" s="38"/>
      <c r="B60" s="62" t="s">
        <v>85</v>
      </c>
      <c r="C60" s="270">
        <v>46191</v>
      </c>
      <c r="D60" s="43">
        <f>WEEKNUM(INCIDENCIAS!$C60)</f>
        <v>25</v>
      </c>
      <c r="E60" s="62" t="s">
        <v>201</v>
      </c>
      <c r="F60" s="99" t="s">
        <v>35</v>
      </c>
      <c r="G60" s="100" t="s">
        <v>423</v>
      </c>
      <c r="H60" s="43">
        <v>1</v>
      </c>
      <c r="I60" s="45">
        <v>189</v>
      </c>
      <c r="J60" s="45">
        <f>INCIDENCIAS!$H60*INCIDENCIAS!$I60</f>
        <v>189</v>
      </c>
      <c r="K60" s="156" t="s">
        <v>26</v>
      </c>
      <c r="L60" s="100" t="s">
        <v>310</v>
      </c>
      <c r="M60" s="43">
        <v>0</v>
      </c>
      <c r="N60" s="43">
        <v>0</v>
      </c>
      <c r="O60" s="43"/>
    </row>
    <row r="61" spans="1:16" ht="15.75" customHeight="1" x14ac:dyDescent="0.25">
      <c r="A61" s="38"/>
      <c r="B61" s="62" t="s">
        <v>41</v>
      </c>
      <c r="C61" s="270">
        <v>46193</v>
      </c>
      <c r="D61" s="43">
        <f>WEEKNUM(INCIDENCIAS!$C61)</f>
        <v>25</v>
      </c>
      <c r="E61" s="62" t="s">
        <v>201</v>
      </c>
      <c r="F61" s="99" t="s">
        <v>29</v>
      </c>
      <c r="G61" s="100" t="s">
        <v>418</v>
      </c>
      <c r="H61" s="43">
        <v>1</v>
      </c>
      <c r="I61" s="45">
        <v>149</v>
      </c>
      <c r="J61" s="45">
        <f>INCIDENCIAS!$H61*INCIDENCIAS!$I61</f>
        <v>149</v>
      </c>
      <c r="K61" s="156" t="s">
        <v>26</v>
      </c>
      <c r="L61" s="100" t="s">
        <v>310</v>
      </c>
      <c r="M61" s="43">
        <v>0</v>
      </c>
      <c r="N61" s="43">
        <v>0</v>
      </c>
      <c r="O61" s="43"/>
    </row>
    <row r="62" spans="1:16" ht="15.75" customHeight="1" x14ac:dyDescent="0.25">
      <c r="A62" s="38"/>
      <c r="B62" s="62" t="s">
        <v>41</v>
      </c>
      <c r="C62" s="270">
        <v>46193</v>
      </c>
      <c r="D62" s="43">
        <f>WEEKNUM(INCIDENCIAS!$C62)</f>
        <v>25</v>
      </c>
      <c r="E62" s="62" t="s">
        <v>201</v>
      </c>
      <c r="F62" s="99" t="s">
        <v>29</v>
      </c>
      <c r="G62" s="100" t="s">
        <v>424</v>
      </c>
      <c r="H62" s="43">
        <v>1</v>
      </c>
      <c r="I62" s="45">
        <v>209</v>
      </c>
      <c r="J62" s="45">
        <f>INCIDENCIAS!$H62*INCIDENCIAS!$I62</f>
        <v>209</v>
      </c>
      <c r="K62" s="156" t="s">
        <v>26</v>
      </c>
      <c r="L62" s="100" t="s">
        <v>310</v>
      </c>
      <c r="M62" s="43">
        <v>0</v>
      </c>
      <c r="N62" s="43">
        <v>0</v>
      </c>
      <c r="O62" s="43"/>
    </row>
    <row r="63" spans="1:16" ht="15.75" customHeight="1" x14ac:dyDescent="0.25">
      <c r="A63" s="38"/>
      <c r="B63" s="62" t="s">
        <v>15</v>
      </c>
      <c r="C63" s="270">
        <v>46193</v>
      </c>
      <c r="D63" s="43">
        <f>WEEKNUM(INCIDENCIAS!$C63)</f>
        <v>25</v>
      </c>
      <c r="E63" s="62" t="s">
        <v>201</v>
      </c>
      <c r="F63" s="99" t="s">
        <v>29</v>
      </c>
      <c r="G63" s="100" t="s">
        <v>418</v>
      </c>
      <c r="H63" s="43">
        <v>1</v>
      </c>
      <c r="I63" s="45">
        <v>149</v>
      </c>
      <c r="J63" s="45">
        <f>INCIDENCIAS!$H63*INCIDENCIAS!$I63</f>
        <v>149</v>
      </c>
      <c r="K63" s="156" t="s">
        <v>26</v>
      </c>
      <c r="L63" s="100" t="s">
        <v>310</v>
      </c>
      <c r="M63" s="100" t="s">
        <v>231</v>
      </c>
      <c r="N63" s="43">
        <v>0</v>
      </c>
      <c r="O63" s="43"/>
    </row>
    <row r="64" spans="1:16" ht="15.75" customHeight="1" x14ac:dyDescent="0.25">
      <c r="A64" s="38"/>
      <c r="B64" s="99" t="s">
        <v>15</v>
      </c>
      <c r="C64" s="270">
        <v>46193</v>
      </c>
      <c r="D64" s="43">
        <f>WEEKNUM(INCIDENCIAS!$C64)</f>
        <v>25</v>
      </c>
      <c r="E64" s="62" t="s">
        <v>202</v>
      </c>
      <c r="F64" s="99" t="s">
        <v>56</v>
      </c>
      <c r="G64" s="100" t="s">
        <v>425</v>
      </c>
      <c r="H64" s="43">
        <v>1</v>
      </c>
      <c r="I64" s="45">
        <v>65</v>
      </c>
      <c r="J64" s="45">
        <f>INCIDENCIAS!$H64*INCIDENCIAS!$I64</f>
        <v>65</v>
      </c>
      <c r="K64" s="156" t="s">
        <v>26</v>
      </c>
      <c r="L64" s="100" t="s">
        <v>310</v>
      </c>
      <c r="M64" s="100" t="s">
        <v>231</v>
      </c>
      <c r="N64" s="43">
        <v>0</v>
      </c>
      <c r="O64" s="43"/>
    </row>
    <row r="65" spans="1:15" ht="15.75" customHeight="1" x14ac:dyDescent="0.25">
      <c r="A65" s="38"/>
      <c r="B65" s="62" t="s">
        <v>84</v>
      </c>
      <c r="C65" s="270">
        <v>46196</v>
      </c>
      <c r="D65" s="43">
        <f>WEEKNUM(INCIDENCIAS!$C65)</f>
        <v>26</v>
      </c>
      <c r="E65" s="62" t="s">
        <v>202</v>
      </c>
      <c r="F65" s="99" t="s">
        <v>56</v>
      </c>
      <c r="G65" s="100" t="s">
        <v>45</v>
      </c>
      <c r="H65" s="43">
        <v>1</v>
      </c>
      <c r="I65" s="45">
        <v>99</v>
      </c>
      <c r="J65" s="45">
        <f>INCIDENCIAS!$H65*INCIDENCIAS!$I65</f>
        <v>99</v>
      </c>
      <c r="K65" s="100" t="s">
        <v>426</v>
      </c>
      <c r="L65" s="100" t="s">
        <v>427</v>
      </c>
      <c r="M65" s="100" t="s">
        <v>379</v>
      </c>
      <c r="N65" s="43">
        <v>0</v>
      </c>
      <c r="O65" s="43"/>
    </row>
    <row r="66" spans="1:15" ht="15.75" customHeight="1" x14ac:dyDescent="0.25">
      <c r="A66" s="38"/>
      <c r="B66" s="62" t="s">
        <v>69</v>
      </c>
      <c r="C66" s="270">
        <v>46197</v>
      </c>
      <c r="D66" s="43">
        <f>WEEKNUM(INCIDENCIAS!$C66)</f>
        <v>26</v>
      </c>
      <c r="E66" s="62" t="s">
        <v>225</v>
      </c>
      <c r="F66" s="99" t="s">
        <v>229</v>
      </c>
      <c r="G66" s="43"/>
      <c r="H66" s="43">
        <v>1</v>
      </c>
      <c r="I66" s="45">
        <v>54</v>
      </c>
      <c r="J66" s="45">
        <f>INCIDENCIAS!$H66*INCIDENCIAS!$I66</f>
        <v>54</v>
      </c>
      <c r="K66" s="100" t="s">
        <v>58</v>
      </c>
      <c r="L66" s="100" t="s">
        <v>427</v>
      </c>
      <c r="M66" s="100" t="s">
        <v>417</v>
      </c>
      <c r="N66" s="43">
        <v>0</v>
      </c>
      <c r="O66" s="43"/>
    </row>
    <row r="67" spans="1:15" ht="15.75" customHeight="1" x14ac:dyDescent="0.25">
      <c r="A67" s="38"/>
      <c r="B67" s="62" t="s">
        <v>85</v>
      </c>
      <c r="C67" s="270">
        <v>46197</v>
      </c>
      <c r="D67" s="43">
        <f>WEEKNUM(INCIDENCIAS!$C67)</f>
        <v>26</v>
      </c>
      <c r="E67" s="62" t="s">
        <v>225</v>
      </c>
      <c r="F67" s="99" t="s">
        <v>428</v>
      </c>
      <c r="G67" s="100" t="s">
        <v>429</v>
      </c>
      <c r="H67" s="43">
        <v>1</v>
      </c>
      <c r="I67" s="45">
        <v>11</v>
      </c>
      <c r="J67" s="45">
        <f>INCIDENCIAS!$H67*INCIDENCIAS!$I67</f>
        <v>11</v>
      </c>
      <c r="K67" s="156" t="s">
        <v>26</v>
      </c>
      <c r="L67" s="100" t="s">
        <v>310</v>
      </c>
      <c r="M67" s="43">
        <v>0</v>
      </c>
      <c r="N67" s="43">
        <v>0</v>
      </c>
      <c r="O67" s="43"/>
    </row>
    <row r="68" spans="1:15" ht="15.75" customHeight="1" x14ac:dyDescent="0.25">
      <c r="A68" s="38"/>
      <c r="B68" s="62" t="s">
        <v>47</v>
      </c>
      <c r="C68" s="270">
        <v>46199</v>
      </c>
      <c r="D68" s="43">
        <f>WEEKNUM(INCIDENCIAS!$C68)</f>
        <v>26</v>
      </c>
      <c r="E68" s="62" t="s">
        <v>202</v>
      </c>
      <c r="F68" s="99" t="s">
        <v>432</v>
      </c>
      <c r="G68" s="100" t="s">
        <v>433</v>
      </c>
      <c r="H68" s="43">
        <v>1</v>
      </c>
      <c r="I68" s="45">
        <v>45</v>
      </c>
      <c r="J68" s="45">
        <f>INCIDENCIAS!$H68*INCIDENCIAS!$I68</f>
        <v>45</v>
      </c>
      <c r="K68" s="100" t="s">
        <v>58</v>
      </c>
      <c r="L68" s="100" t="s">
        <v>431</v>
      </c>
      <c r="M68" s="100" t="s">
        <v>430</v>
      </c>
      <c r="N68" s="43">
        <v>0</v>
      </c>
      <c r="O68" s="43"/>
    </row>
    <row r="69" spans="1:15" ht="15.75" customHeight="1" x14ac:dyDescent="0.25">
      <c r="A69" s="38"/>
      <c r="B69" s="62"/>
      <c r="C69" s="43"/>
      <c r="D69" s="43">
        <f>WEEKNUM(INCIDENCIAS!$C69)</f>
        <v>0</v>
      </c>
      <c r="E69" s="62"/>
      <c r="F69" s="62"/>
      <c r="G69" s="43"/>
      <c r="H69" s="43"/>
      <c r="I69" s="45"/>
      <c r="J69" s="45">
        <f>INCIDENCIAS!$H69*INCIDENCIAS!$I69</f>
        <v>0</v>
      </c>
      <c r="K69" s="43"/>
      <c r="L69" s="43"/>
      <c r="M69" s="43"/>
      <c r="N69" s="43"/>
      <c r="O69" s="43"/>
    </row>
    <row r="70" spans="1:15" ht="15.75" customHeight="1" x14ac:dyDescent="0.25">
      <c r="A70" s="282" t="s">
        <v>434</v>
      </c>
      <c r="B70" s="62" t="s">
        <v>15</v>
      </c>
      <c r="C70" s="270">
        <v>46207</v>
      </c>
      <c r="D70" s="43">
        <f>WEEKNUM(INCIDENCIAS!$C70)</f>
        <v>27</v>
      </c>
      <c r="E70" s="62" t="s">
        <v>225</v>
      </c>
      <c r="F70" s="99" t="s">
        <v>435</v>
      </c>
      <c r="G70" s="43"/>
      <c r="H70" s="43">
        <v>1</v>
      </c>
      <c r="I70" s="45">
        <v>79</v>
      </c>
      <c r="J70" s="45">
        <f>INCIDENCIAS!$H70*INCIDENCIAS!$I70</f>
        <v>79</v>
      </c>
      <c r="K70" s="156" t="s">
        <v>26</v>
      </c>
      <c r="L70" s="43"/>
      <c r="M70" s="43">
        <v>0</v>
      </c>
      <c r="N70" s="43">
        <v>0</v>
      </c>
      <c r="O70" s="43"/>
    </row>
    <row r="71" spans="1:15" ht="15.75" customHeight="1" x14ac:dyDescent="0.25">
      <c r="A71" s="38"/>
      <c r="B71" s="62" t="s">
        <v>34</v>
      </c>
      <c r="C71" s="270">
        <v>46213</v>
      </c>
      <c r="D71" s="43">
        <f>WEEKNUM(INCIDENCIAS!$C71)</f>
        <v>28</v>
      </c>
      <c r="E71" s="62" t="s">
        <v>202</v>
      </c>
      <c r="F71" s="99" t="s">
        <v>56</v>
      </c>
      <c r="G71" s="100" t="s">
        <v>25</v>
      </c>
      <c r="H71" s="43">
        <v>1</v>
      </c>
      <c r="I71" s="45">
        <v>94.9</v>
      </c>
      <c r="J71" s="45">
        <f>INCIDENCIAS!$H71*INCIDENCIAS!$I71</f>
        <v>94.9</v>
      </c>
      <c r="K71" s="100" t="s">
        <v>58</v>
      </c>
      <c r="L71" s="100" t="s">
        <v>51</v>
      </c>
      <c r="M71" s="100" t="s">
        <v>379</v>
      </c>
      <c r="N71" s="43">
        <v>0</v>
      </c>
      <c r="O71" s="43"/>
    </row>
    <row r="72" spans="1:15" ht="15.75" customHeight="1" x14ac:dyDescent="0.25">
      <c r="A72" s="38"/>
      <c r="B72" s="62" t="s">
        <v>69</v>
      </c>
      <c r="C72" s="270">
        <v>46213</v>
      </c>
      <c r="D72" s="43">
        <f>WEEKNUM(INCIDENCIAS!$C72)</f>
        <v>28</v>
      </c>
      <c r="E72" s="62" t="s">
        <v>202</v>
      </c>
      <c r="F72" s="99" t="s">
        <v>56</v>
      </c>
      <c r="G72" s="100" t="s">
        <v>45</v>
      </c>
      <c r="H72" s="43">
        <v>1</v>
      </c>
      <c r="I72" s="45">
        <v>99</v>
      </c>
      <c r="J72" s="45">
        <f>INCIDENCIAS!$H72*INCIDENCIAS!$I72</f>
        <v>99</v>
      </c>
      <c r="K72" s="100" t="s">
        <v>58</v>
      </c>
      <c r="L72" s="100" t="s">
        <v>437</v>
      </c>
      <c r="M72" s="100" t="s">
        <v>379</v>
      </c>
      <c r="N72" s="43">
        <v>0</v>
      </c>
      <c r="O72" s="43"/>
    </row>
    <row r="73" spans="1:15" ht="15.75" customHeight="1" x14ac:dyDescent="0.25">
      <c r="A73" s="38"/>
      <c r="B73" s="62" t="s">
        <v>15</v>
      </c>
      <c r="C73" s="270">
        <v>46214</v>
      </c>
      <c r="D73" s="43">
        <f>WEEKNUM(INCIDENCIAS!$C73)</f>
        <v>28</v>
      </c>
      <c r="E73" s="62" t="s">
        <v>202</v>
      </c>
      <c r="F73" s="99" t="s">
        <v>64</v>
      </c>
      <c r="G73" s="100" t="s">
        <v>45</v>
      </c>
      <c r="H73" s="43">
        <v>2</v>
      </c>
      <c r="I73" s="45">
        <v>99</v>
      </c>
      <c r="J73" s="45">
        <f>INCIDENCIAS!$H73*INCIDENCIAS!$I73</f>
        <v>198</v>
      </c>
      <c r="K73" s="100" t="s">
        <v>58</v>
      </c>
      <c r="L73" s="100" t="s">
        <v>287</v>
      </c>
      <c r="M73" s="100" t="s">
        <v>379</v>
      </c>
      <c r="N73" s="43">
        <v>0</v>
      </c>
      <c r="O73" s="43"/>
    </row>
    <row r="74" spans="1:15" ht="15.75" customHeight="1" x14ac:dyDescent="0.25">
      <c r="A74" s="38"/>
      <c r="B74" s="99" t="s">
        <v>238</v>
      </c>
      <c r="C74" s="270">
        <v>46214</v>
      </c>
      <c r="D74" s="43">
        <f>WEEKNUM(INCIDENCIAS!$C74)</f>
        <v>28</v>
      </c>
      <c r="E74" s="62" t="s">
        <v>202</v>
      </c>
      <c r="F74" s="99" t="s">
        <v>56</v>
      </c>
      <c r="G74" s="100" t="s">
        <v>45</v>
      </c>
      <c r="H74" s="43">
        <v>1</v>
      </c>
      <c r="I74" s="45">
        <v>79</v>
      </c>
      <c r="J74" s="45">
        <f>INCIDENCIAS!$H74*INCIDENCIAS!$I74</f>
        <v>79</v>
      </c>
      <c r="K74" s="100" t="s">
        <v>58</v>
      </c>
      <c r="L74" s="100" t="s">
        <v>287</v>
      </c>
      <c r="M74" s="100" t="s">
        <v>379</v>
      </c>
      <c r="N74" s="43">
        <v>0</v>
      </c>
      <c r="O74" s="43"/>
    </row>
    <row r="75" spans="1:15" ht="15.75" customHeight="1" x14ac:dyDescent="0.25">
      <c r="A75" s="38"/>
      <c r="B75" s="62" t="s">
        <v>69</v>
      </c>
      <c r="C75" s="270">
        <v>46217</v>
      </c>
      <c r="D75" s="43">
        <f>WEEKNUM(INCIDENCIAS!$C75)</f>
        <v>29</v>
      </c>
      <c r="E75" s="62" t="s">
        <v>202</v>
      </c>
      <c r="F75" s="99" t="s">
        <v>439</v>
      </c>
      <c r="G75" s="100" t="s">
        <v>30</v>
      </c>
      <c r="H75" s="43">
        <v>1</v>
      </c>
      <c r="I75" s="45">
        <v>119.6</v>
      </c>
      <c r="J75" s="45">
        <f>INCIDENCIAS!$H75*INCIDENCIAS!$I75</f>
        <v>119.6</v>
      </c>
      <c r="K75" s="100" t="s">
        <v>58</v>
      </c>
      <c r="L75" s="100" t="s">
        <v>440</v>
      </c>
      <c r="M75" s="100" t="s">
        <v>379</v>
      </c>
      <c r="N75" s="43">
        <v>0</v>
      </c>
      <c r="O75" s="43"/>
    </row>
    <row r="76" spans="1:15" ht="15.75" customHeight="1" x14ac:dyDescent="0.25">
      <c r="A76" s="38"/>
      <c r="B76" s="99" t="s">
        <v>238</v>
      </c>
      <c r="C76" s="270">
        <v>46217</v>
      </c>
      <c r="D76" s="43">
        <f>WEEKNUM(INCIDENCIAS!$C76)</f>
        <v>29</v>
      </c>
      <c r="E76" s="62" t="s">
        <v>225</v>
      </c>
      <c r="F76" s="99" t="s">
        <v>441</v>
      </c>
      <c r="G76" s="100" t="s">
        <v>442</v>
      </c>
      <c r="H76" s="43">
        <v>1</v>
      </c>
      <c r="I76" s="45">
        <v>6</v>
      </c>
      <c r="J76" s="45">
        <f>INCIDENCIAS!$H76*INCIDENCIAS!$I76</f>
        <v>6</v>
      </c>
      <c r="K76" s="156" t="s">
        <v>26</v>
      </c>
      <c r="L76" s="100" t="s">
        <v>240</v>
      </c>
      <c r="M76" s="43">
        <v>0</v>
      </c>
      <c r="N76" s="43">
        <v>0</v>
      </c>
      <c r="O76" s="43"/>
    </row>
    <row r="77" spans="1:15" ht="15.75" customHeight="1" x14ac:dyDescent="0.25">
      <c r="A77" s="38"/>
      <c r="B77" s="62"/>
      <c r="C77" s="43"/>
      <c r="D77" s="43">
        <f>WEEKNUM(INCIDENCIAS!$C77)</f>
        <v>0</v>
      </c>
      <c r="E77" s="62"/>
      <c r="F77" s="62"/>
      <c r="G77" s="43"/>
      <c r="H77" s="43"/>
      <c r="I77" s="45"/>
      <c r="J77" s="45">
        <f>INCIDENCIAS!$H77*INCIDENCIAS!$I77</f>
        <v>0</v>
      </c>
      <c r="K77" s="43"/>
      <c r="L77" s="43"/>
      <c r="M77" s="43"/>
      <c r="N77" s="43"/>
      <c r="O77" s="43"/>
    </row>
    <row r="78" spans="1:15" ht="15.75" customHeight="1" x14ac:dyDescent="0.25">
      <c r="A78" s="38"/>
      <c r="B78" s="62"/>
      <c r="C78" s="43"/>
      <c r="D78" s="43">
        <f>WEEKNUM(INCIDENCIAS!$C78)</f>
        <v>0</v>
      </c>
      <c r="E78" s="62"/>
      <c r="F78" s="62"/>
      <c r="G78" s="43"/>
      <c r="H78" s="43"/>
      <c r="I78" s="45"/>
      <c r="J78" s="45">
        <f>INCIDENCIAS!$H78*INCIDENCIAS!$I78</f>
        <v>0</v>
      </c>
      <c r="K78" s="43"/>
      <c r="L78" s="43"/>
      <c r="M78" s="43"/>
      <c r="N78" s="43"/>
      <c r="O78" s="43"/>
    </row>
    <row r="79" spans="1:15" ht="15.75" customHeight="1" x14ac:dyDescent="0.25">
      <c r="A79" s="38"/>
      <c r="B79" s="62"/>
      <c r="C79" s="43"/>
      <c r="D79" s="43">
        <f>WEEKNUM(INCIDENCIAS!$C79)</f>
        <v>0</v>
      </c>
      <c r="E79" s="62"/>
      <c r="F79" s="62"/>
      <c r="G79" s="43"/>
      <c r="H79" s="43"/>
      <c r="I79" s="45"/>
      <c r="J79" s="45">
        <f>INCIDENCIAS!$H79*INCIDENCIAS!$I79</f>
        <v>0</v>
      </c>
      <c r="K79" s="43"/>
      <c r="L79" s="43"/>
      <c r="M79" s="43"/>
      <c r="N79" s="43"/>
      <c r="O79" s="43"/>
    </row>
    <row r="80" spans="1:15" ht="15.75" customHeight="1" x14ac:dyDescent="0.25">
      <c r="A80" s="38"/>
      <c r="B80" s="62"/>
      <c r="C80" s="43"/>
      <c r="D80" s="43">
        <f>WEEKNUM(INCIDENCIAS!$C80)</f>
        <v>0</v>
      </c>
      <c r="E80" s="62"/>
      <c r="F80" s="62"/>
      <c r="G80" s="43"/>
      <c r="H80" s="43"/>
      <c r="I80" s="45"/>
      <c r="J80" s="45">
        <f>INCIDENCIAS!$H80*INCIDENCIAS!$I80</f>
        <v>0</v>
      </c>
      <c r="K80" s="43"/>
      <c r="L80" s="43"/>
      <c r="M80" s="43"/>
      <c r="N80" s="43"/>
      <c r="O80" s="43"/>
    </row>
    <row r="81" spans="1:15" ht="15.75" customHeight="1" x14ac:dyDescent="0.25">
      <c r="A81" s="38"/>
      <c r="B81" s="62"/>
      <c r="C81" s="43"/>
      <c r="D81" s="43">
        <f>WEEKNUM(INCIDENCIAS!$C81)</f>
        <v>0</v>
      </c>
      <c r="E81" s="62"/>
      <c r="F81" s="62"/>
      <c r="G81" s="43"/>
      <c r="H81" s="43"/>
      <c r="I81" s="45"/>
      <c r="J81" s="45">
        <f>INCIDENCIAS!$H81*INCIDENCIAS!$I81</f>
        <v>0</v>
      </c>
      <c r="K81" s="43"/>
      <c r="L81" s="43"/>
      <c r="M81" s="43"/>
      <c r="N81" s="43"/>
      <c r="O81" s="43"/>
    </row>
    <row r="82" spans="1:15" ht="15.75" customHeight="1" x14ac:dyDescent="0.25">
      <c r="A82" s="38"/>
      <c r="B82" s="62"/>
      <c r="C82" s="43"/>
      <c r="D82" s="43">
        <f>WEEKNUM(INCIDENCIAS!$C82)</f>
        <v>0</v>
      </c>
      <c r="E82" s="62"/>
      <c r="F82" s="62"/>
      <c r="G82" s="43"/>
      <c r="H82" s="43"/>
      <c r="I82" s="45"/>
      <c r="J82" s="45">
        <f>INCIDENCIAS!$H82*INCIDENCIAS!$I82</f>
        <v>0</v>
      </c>
      <c r="K82" s="43"/>
      <c r="L82" s="43"/>
      <c r="M82" s="43"/>
      <c r="N82" s="43"/>
      <c r="O82" s="43"/>
    </row>
    <row r="83" spans="1:15" ht="15.75" customHeight="1" x14ac:dyDescent="0.25">
      <c r="A83" s="38"/>
      <c r="B83" s="62"/>
      <c r="C83" s="43"/>
      <c r="D83" s="43">
        <f>WEEKNUM(INCIDENCIAS!$C83)</f>
        <v>0</v>
      </c>
      <c r="E83" s="62"/>
      <c r="F83" s="62"/>
      <c r="G83" s="43"/>
      <c r="H83" s="43"/>
      <c r="I83" s="45"/>
      <c r="J83" s="45">
        <f>INCIDENCIAS!$H83*INCIDENCIAS!$I83</f>
        <v>0</v>
      </c>
      <c r="K83" s="43"/>
      <c r="L83" s="43"/>
      <c r="M83" s="43"/>
      <c r="N83" s="43"/>
      <c r="O83" s="43"/>
    </row>
    <row r="84" spans="1:15" ht="15.75" customHeight="1" x14ac:dyDescent="0.25">
      <c r="A84" s="38"/>
      <c r="B84" s="62"/>
      <c r="C84" s="43"/>
      <c r="D84" s="43">
        <f>WEEKNUM(INCIDENCIAS!$C84)</f>
        <v>0</v>
      </c>
      <c r="E84" s="62"/>
      <c r="F84" s="62"/>
      <c r="G84" s="43"/>
      <c r="H84" s="43"/>
      <c r="I84" s="45"/>
      <c r="J84" s="45">
        <f>INCIDENCIAS!$H84*INCIDENCIAS!$I84</f>
        <v>0</v>
      </c>
      <c r="K84" s="43"/>
      <c r="L84" s="43"/>
      <c r="M84" s="43"/>
      <c r="N84" s="43"/>
      <c r="O84" s="43"/>
    </row>
    <row r="85" spans="1:15" ht="15.75" customHeight="1" x14ac:dyDescent="0.25">
      <c r="A85" s="38"/>
      <c r="B85" s="62"/>
      <c r="C85" s="43"/>
      <c r="D85" s="43">
        <f>WEEKNUM(INCIDENCIAS!$C85)</f>
        <v>0</v>
      </c>
      <c r="E85" s="62"/>
      <c r="F85" s="62"/>
      <c r="G85" s="43"/>
      <c r="H85" s="43"/>
      <c r="I85" s="45"/>
      <c r="J85" s="45">
        <f>INCIDENCIAS!$H85*INCIDENCIAS!$I85</f>
        <v>0</v>
      </c>
      <c r="K85" s="43"/>
      <c r="L85" s="43"/>
      <c r="M85" s="43"/>
      <c r="N85" s="43"/>
      <c r="O85" s="43"/>
    </row>
    <row r="86" spans="1:15" ht="15.75" customHeight="1" x14ac:dyDescent="0.25">
      <c r="A86" s="38"/>
      <c r="B86" s="62"/>
      <c r="C86" s="43"/>
      <c r="D86" s="43">
        <f>WEEKNUM(INCIDENCIAS!$C86)</f>
        <v>0</v>
      </c>
      <c r="E86" s="62"/>
      <c r="F86" s="62"/>
      <c r="G86" s="43"/>
      <c r="H86" s="43"/>
      <c r="I86" s="45"/>
      <c r="J86" s="45">
        <f>INCIDENCIAS!$H86*INCIDENCIAS!$I86</f>
        <v>0</v>
      </c>
      <c r="K86" s="43"/>
      <c r="L86" s="43"/>
      <c r="M86" s="43"/>
      <c r="N86" s="43"/>
      <c r="O86" s="43"/>
    </row>
    <row r="87" spans="1:15" ht="15.75" customHeight="1" x14ac:dyDescent="0.25">
      <c r="A87" s="38"/>
      <c r="B87" s="62"/>
      <c r="C87" s="43"/>
      <c r="D87" s="43">
        <f>WEEKNUM(INCIDENCIAS!$C87)</f>
        <v>0</v>
      </c>
      <c r="E87" s="62"/>
      <c r="F87" s="62"/>
      <c r="G87" s="43"/>
      <c r="H87" s="43"/>
      <c r="I87" s="45"/>
      <c r="J87" s="45">
        <f>INCIDENCIAS!$H87*INCIDENCIAS!$I87</f>
        <v>0</v>
      </c>
      <c r="K87" s="43"/>
      <c r="L87" s="43"/>
      <c r="M87" s="43"/>
      <c r="N87" s="43"/>
      <c r="O87" s="43"/>
    </row>
    <row r="88" spans="1:15" ht="15.75" customHeight="1" x14ac:dyDescent="0.25">
      <c r="A88" s="38"/>
      <c r="B88" s="62"/>
      <c r="C88" s="43"/>
      <c r="D88" s="43">
        <f>WEEKNUM(INCIDENCIAS!$C88)</f>
        <v>0</v>
      </c>
      <c r="E88" s="62"/>
      <c r="F88" s="62"/>
      <c r="G88" s="43"/>
      <c r="H88" s="43"/>
      <c r="I88" s="45"/>
      <c r="J88" s="45">
        <f>INCIDENCIAS!$H88*INCIDENCIAS!$I88</f>
        <v>0</v>
      </c>
      <c r="K88" s="43"/>
      <c r="L88" s="43"/>
      <c r="M88" s="43"/>
      <c r="N88" s="43"/>
      <c r="O88" s="43"/>
    </row>
    <row r="89" spans="1:15" ht="15.75" customHeight="1" x14ac:dyDescent="0.25">
      <c r="A89" s="38"/>
      <c r="B89" s="62"/>
      <c r="C89" s="43"/>
      <c r="D89" s="43">
        <f>WEEKNUM(INCIDENCIAS!$C89)</f>
        <v>0</v>
      </c>
      <c r="E89" s="62"/>
      <c r="F89" s="62"/>
      <c r="G89" s="43"/>
      <c r="H89" s="43"/>
      <c r="I89" s="45"/>
      <c r="J89" s="45">
        <f>INCIDENCIAS!$H89*INCIDENCIAS!$I89</f>
        <v>0</v>
      </c>
      <c r="K89" s="43"/>
      <c r="L89" s="43"/>
      <c r="M89" s="43"/>
      <c r="N89" s="43"/>
      <c r="O89" s="43"/>
    </row>
    <row r="90" spans="1:15" ht="15.75" customHeight="1" x14ac:dyDescent="0.25">
      <c r="A90" s="38"/>
      <c r="B90" s="62"/>
      <c r="C90" s="43"/>
      <c r="D90" s="43">
        <f>WEEKNUM(INCIDENCIAS!$C90)</f>
        <v>0</v>
      </c>
      <c r="E90" s="62"/>
      <c r="F90" s="62"/>
      <c r="G90" s="43"/>
      <c r="H90" s="43"/>
      <c r="I90" s="45"/>
      <c r="J90" s="45">
        <f>INCIDENCIAS!$H90*INCIDENCIAS!$I90</f>
        <v>0</v>
      </c>
      <c r="K90" s="43"/>
      <c r="L90" s="43"/>
      <c r="M90" s="43"/>
      <c r="N90" s="43"/>
      <c r="O90" s="43"/>
    </row>
    <row r="91" spans="1:15" ht="15.75" customHeight="1" x14ac:dyDescent="0.25">
      <c r="A91" s="38"/>
      <c r="B91" s="62"/>
      <c r="C91" s="43"/>
      <c r="D91" s="43">
        <f>WEEKNUM(INCIDENCIAS!$C91)</f>
        <v>0</v>
      </c>
      <c r="E91" s="62"/>
      <c r="F91" s="62"/>
      <c r="G91" s="43"/>
      <c r="H91" s="43"/>
      <c r="I91" s="45"/>
      <c r="J91" s="45">
        <f>INCIDENCIAS!$H91*INCIDENCIAS!$I91</f>
        <v>0</v>
      </c>
      <c r="K91" s="43"/>
      <c r="L91" s="43"/>
      <c r="M91" s="43"/>
      <c r="N91" s="43"/>
      <c r="O91" s="43"/>
    </row>
    <row r="92" spans="1:15" ht="15.75" customHeight="1" x14ac:dyDescent="0.25">
      <c r="A92" s="38"/>
      <c r="B92" s="62"/>
      <c r="C92" s="43"/>
      <c r="D92" s="43">
        <f>WEEKNUM(INCIDENCIAS!$C92)</f>
        <v>0</v>
      </c>
      <c r="E92" s="62"/>
      <c r="F92" s="62"/>
      <c r="G92" s="43"/>
      <c r="H92" s="43"/>
      <c r="I92" s="45"/>
      <c r="J92" s="45">
        <f>INCIDENCIAS!$H92*INCIDENCIAS!$I92</f>
        <v>0</v>
      </c>
      <c r="K92" s="43"/>
      <c r="L92" s="43"/>
      <c r="M92" s="43"/>
      <c r="N92" s="43"/>
      <c r="O92" s="43"/>
    </row>
    <row r="93" spans="1:15" ht="15.75" customHeight="1" x14ac:dyDescent="0.25">
      <c r="A93" s="38"/>
      <c r="B93" s="62"/>
      <c r="C93" s="43"/>
      <c r="D93" s="43">
        <f>WEEKNUM(INCIDENCIAS!$C93)</f>
        <v>0</v>
      </c>
      <c r="E93" s="62"/>
      <c r="F93" s="62"/>
      <c r="G93" s="43"/>
      <c r="H93" s="43"/>
      <c r="I93" s="45"/>
      <c r="J93" s="45">
        <f>INCIDENCIAS!$H93*INCIDENCIAS!$I93</f>
        <v>0</v>
      </c>
      <c r="K93" s="43"/>
      <c r="L93" s="43"/>
      <c r="M93" s="43"/>
      <c r="N93" s="43"/>
      <c r="O93" s="43"/>
    </row>
    <row r="94" spans="1:15" ht="15.75" customHeight="1" x14ac:dyDescent="0.25">
      <c r="A94" s="38"/>
      <c r="B94" s="62"/>
      <c r="C94" s="43"/>
      <c r="D94" s="43">
        <f>WEEKNUM(INCIDENCIAS!$C94)</f>
        <v>0</v>
      </c>
      <c r="E94" s="62"/>
      <c r="F94" s="62"/>
      <c r="G94" s="43"/>
      <c r="H94" s="43"/>
      <c r="I94" s="45"/>
      <c r="J94" s="45">
        <f>INCIDENCIAS!$H94*INCIDENCIAS!$I94</f>
        <v>0</v>
      </c>
      <c r="K94" s="43"/>
      <c r="L94" s="43"/>
      <c r="M94" s="43"/>
      <c r="N94" s="43"/>
      <c r="O94" s="43"/>
    </row>
    <row r="95" spans="1:15" ht="15.75" customHeight="1" x14ac:dyDescent="0.25">
      <c r="A95" s="38"/>
      <c r="B95" s="62"/>
      <c r="C95" s="43"/>
      <c r="D95" s="43">
        <f>WEEKNUM(INCIDENCIAS!$C95)</f>
        <v>0</v>
      </c>
      <c r="E95" s="62"/>
      <c r="F95" s="62"/>
      <c r="G95" s="43"/>
      <c r="H95" s="43"/>
      <c r="I95" s="45"/>
      <c r="J95" s="45">
        <f>INCIDENCIAS!$H95*INCIDENCIAS!$I95</f>
        <v>0</v>
      </c>
      <c r="K95" s="43"/>
      <c r="L95" s="43"/>
      <c r="M95" s="43"/>
      <c r="N95" s="43"/>
      <c r="O95" s="43"/>
    </row>
    <row r="96" spans="1:15" ht="15.75" customHeight="1" x14ac:dyDescent="0.25">
      <c r="A96" s="38"/>
      <c r="B96" s="62"/>
      <c r="C96" s="43"/>
      <c r="D96" s="43">
        <f>WEEKNUM(INCIDENCIAS!$C96)</f>
        <v>0</v>
      </c>
      <c r="E96" s="62"/>
      <c r="F96" s="62"/>
      <c r="G96" s="43"/>
      <c r="H96" s="43"/>
      <c r="I96" s="45"/>
      <c r="J96" s="45">
        <f>INCIDENCIAS!$H96*INCIDENCIAS!$I96</f>
        <v>0</v>
      </c>
      <c r="K96" s="43"/>
      <c r="L96" s="43"/>
      <c r="M96" s="43"/>
      <c r="N96" s="43"/>
      <c r="O96" s="43"/>
    </row>
    <row r="97" spans="1:15" ht="15.75" customHeight="1" x14ac:dyDescent="0.25">
      <c r="A97" s="38"/>
      <c r="B97" s="62"/>
      <c r="C97" s="43"/>
      <c r="D97" s="43">
        <f>WEEKNUM(INCIDENCIAS!$C97)</f>
        <v>0</v>
      </c>
      <c r="E97" s="62"/>
      <c r="F97" s="62"/>
      <c r="G97" s="43"/>
      <c r="H97" s="43"/>
      <c r="I97" s="45"/>
      <c r="J97" s="45">
        <f>INCIDENCIAS!$H97*INCIDENCIAS!$I97</f>
        <v>0</v>
      </c>
      <c r="K97" s="43"/>
      <c r="L97" s="43"/>
      <c r="M97" s="43"/>
      <c r="N97" s="43"/>
      <c r="O97" s="43"/>
    </row>
    <row r="98" spans="1:15" ht="15.75" customHeight="1" x14ac:dyDescent="0.25">
      <c r="A98" s="38"/>
      <c r="B98" s="62"/>
      <c r="C98" s="43"/>
      <c r="D98" s="43">
        <f>WEEKNUM(INCIDENCIAS!$C98)</f>
        <v>0</v>
      </c>
      <c r="E98" s="62"/>
      <c r="F98" s="62"/>
      <c r="G98" s="43"/>
      <c r="H98" s="43"/>
      <c r="I98" s="45"/>
      <c r="J98" s="45">
        <f>INCIDENCIAS!$H98*INCIDENCIAS!$I98</f>
        <v>0</v>
      </c>
      <c r="K98" s="43"/>
      <c r="L98" s="43"/>
      <c r="M98" s="43"/>
      <c r="N98" s="43"/>
      <c r="O98" s="43"/>
    </row>
    <row r="99" spans="1:15" ht="15.75" customHeight="1" x14ac:dyDescent="0.25">
      <c r="A99" s="38"/>
      <c r="B99" s="62"/>
      <c r="C99" s="43"/>
      <c r="D99" s="43">
        <f>WEEKNUM(INCIDENCIAS!$C99)</f>
        <v>0</v>
      </c>
      <c r="E99" s="62"/>
      <c r="F99" s="62"/>
      <c r="G99" s="43"/>
      <c r="H99" s="43"/>
      <c r="I99" s="45"/>
      <c r="J99" s="45">
        <f>INCIDENCIAS!$H99*INCIDENCIAS!$I99</f>
        <v>0</v>
      </c>
      <c r="K99" s="43"/>
      <c r="L99" s="43"/>
      <c r="M99" s="43"/>
      <c r="N99" s="43"/>
      <c r="O99" s="43"/>
    </row>
    <row r="100" spans="1:15" ht="15.75" customHeight="1" x14ac:dyDescent="0.25">
      <c r="A100" s="38"/>
      <c r="B100" s="62"/>
      <c r="C100" s="43"/>
      <c r="D100" s="43">
        <f>WEEKNUM(INCIDENCIAS!$C100)</f>
        <v>0</v>
      </c>
      <c r="E100" s="62"/>
      <c r="F100" s="62"/>
      <c r="G100" s="43"/>
      <c r="H100" s="43"/>
      <c r="I100" s="45"/>
      <c r="J100" s="45">
        <f>INCIDENCIAS!$H100*INCIDENCIAS!$I100</f>
        <v>0</v>
      </c>
      <c r="K100" s="43"/>
      <c r="L100" s="43"/>
      <c r="M100" s="43"/>
      <c r="N100" s="43"/>
      <c r="O100" s="43"/>
    </row>
    <row r="101" spans="1:15" ht="15.75" customHeight="1" x14ac:dyDescent="0.25">
      <c r="A101" s="38"/>
      <c r="B101" s="62"/>
      <c r="C101" s="43"/>
      <c r="D101" s="43">
        <f>WEEKNUM(INCIDENCIAS!$C101)</f>
        <v>0</v>
      </c>
      <c r="E101" s="62"/>
      <c r="F101" s="62"/>
      <c r="G101" s="43"/>
      <c r="H101" s="43"/>
      <c r="I101" s="45"/>
      <c r="J101" s="45">
        <f>INCIDENCIAS!$H101*INCIDENCIAS!$I101</f>
        <v>0</v>
      </c>
      <c r="K101" s="43"/>
      <c r="L101" s="43"/>
      <c r="M101" s="43"/>
      <c r="N101" s="43"/>
      <c r="O101" s="43"/>
    </row>
    <row r="102" spans="1:15" ht="15.75" customHeight="1" x14ac:dyDescent="0.25">
      <c r="A102" s="38"/>
      <c r="B102" s="62"/>
      <c r="C102" s="43"/>
      <c r="D102" s="43">
        <f>WEEKNUM(INCIDENCIAS!$C102)</f>
        <v>0</v>
      </c>
      <c r="E102" s="62"/>
      <c r="F102" s="62"/>
      <c r="G102" s="43"/>
      <c r="H102" s="43"/>
      <c r="I102" s="45"/>
      <c r="J102" s="45">
        <f>INCIDENCIAS!$H102*INCIDENCIAS!$I102</f>
        <v>0</v>
      </c>
      <c r="K102" s="43"/>
      <c r="L102" s="43"/>
      <c r="M102" s="43"/>
      <c r="N102" s="43"/>
      <c r="O102" s="43"/>
    </row>
    <row r="103" spans="1:15" ht="15.75" customHeight="1" x14ac:dyDescent="0.25">
      <c r="A103" s="38"/>
      <c r="B103" s="62"/>
      <c r="C103" s="43"/>
      <c r="D103" s="43">
        <f>WEEKNUM(INCIDENCIAS!$C103)</f>
        <v>0</v>
      </c>
      <c r="E103" s="62"/>
      <c r="F103" s="62"/>
      <c r="G103" s="43"/>
      <c r="H103" s="43"/>
      <c r="I103" s="45"/>
      <c r="J103" s="45">
        <f>INCIDENCIAS!$H103*INCIDENCIAS!$I103</f>
        <v>0</v>
      </c>
      <c r="K103" s="43"/>
      <c r="L103" s="43"/>
      <c r="M103" s="43"/>
      <c r="N103" s="43"/>
      <c r="O103" s="43"/>
    </row>
    <row r="104" spans="1:15" ht="15.75" customHeight="1" x14ac:dyDescent="0.25">
      <c r="A104" s="38"/>
      <c r="B104" s="62"/>
      <c r="C104" s="43"/>
      <c r="D104" s="43">
        <f>WEEKNUM(INCIDENCIAS!$C104)</f>
        <v>0</v>
      </c>
      <c r="E104" s="62"/>
      <c r="F104" s="62"/>
      <c r="G104" s="43"/>
      <c r="H104" s="43"/>
      <c r="I104" s="45"/>
      <c r="J104" s="45">
        <f>INCIDENCIAS!$H104*INCIDENCIAS!$I104</f>
        <v>0</v>
      </c>
      <c r="K104" s="43"/>
      <c r="L104" s="43"/>
      <c r="M104" s="43"/>
      <c r="N104" s="43"/>
      <c r="O104" s="43"/>
    </row>
    <row r="105" spans="1:15" ht="15.75" customHeight="1" x14ac:dyDescent="0.25">
      <c r="A105" s="38"/>
      <c r="B105" s="62"/>
      <c r="C105" s="43"/>
      <c r="D105" s="43">
        <f>WEEKNUM(INCIDENCIAS!$C105)</f>
        <v>0</v>
      </c>
      <c r="E105" s="62"/>
      <c r="F105" s="62"/>
      <c r="G105" s="43"/>
      <c r="H105" s="43"/>
      <c r="I105" s="45"/>
      <c r="J105" s="45">
        <f>INCIDENCIAS!$H105*INCIDENCIAS!$I105</f>
        <v>0</v>
      </c>
      <c r="K105" s="43"/>
      <c r="L105" s="43"/>
      <c r="M105" s="43"/>
      <c r="N105" s="43"/>
      <c r="O105" s="43"/>
    </row>
    <row r="106" spans="1:15" ht="15.75" customHeight="1" x14ac:dyDescent="0.25">
      <c r="A106" s="38"/>
      <c r="B106" s="62"/>
      <c r="C106" s="43"/>
      <c r="D106" s="43">
        <f>WEEKNUM(INCIDENCIAS!$C106)</f>
        <v>0</v>
      </c>
      <c r="E106" s="62"/>
      <c r="F106" s="62"/>
      <c r="G106" s="43"/>
      <c r="H106" s="43"/>
      <c r="I106" s="45"/>
      <c r="J106" s="45">
        <f>INCIDENCIAS!$H106*INCIDENCIAS!$I106</f>
        <v>0</v>
      </c>
      <c r="K106" s="43"/>
      <c r="L106" s="43"/>
      <c r="M106" s="43"/>
      <c r="N106" s="43"/>
      <c r="O106" s="43"/>
    </row>
    <row r="107" spans="1:15" ht="15.75" customHeight="1" x14ac:dyDescent="0.25">
      <c r="A107" s="38"/>
      <c r="B107" s="62"/>
      <c r="C107" s="43"/>
      <c r="D107" s="43">
        <f>WEEKNUM(INCIDENCIAS!$C107)</f>
        <v>0</v>
      </c>
      <c r="E107" s="62"/>
      <c r="F107" s="62"/>
      <c r="G107" s="43"/>
      <c r="H107" s="43"/>
      <c r="I107" s="45"/>
      <c r="J107" s="45">
        <f>INCIDENCIAS!$H107*INCIDENCIAS!$I107</f>
        <v>0</v>
      </c>
      <c r="K107" s="43"/>
      <c r="L107" s="43"/>
      <c r="M107" s="43"/>
      <c r="N107" s="43"/>
      <c r="O107" s="43"/>
    </row>
    <row r="108" spans="1:15" ht="15.75" customHeight="1" x14ac:dyDescent="0.25">
      <c r="A108" s="38"/>
      <c r="B108" s="62"/>
      <c r="C108" s="43"/>
      <c r="D108" s="43">
        <f>WEEKNUM(INCIDENCIAS!$C108)</f>
        <v>0</v>
      </c>
      <c r="E108" s="62"/>
      <c r="F108" s="62"/>
      <c r="G108" s="43"/>
      <c r="H108" s="43"/>
      <c r="I108" s="45"/>
      <c r="J108" s="45">
        <f>INCIDENCIAS!$H108*INCIDENCIAS!$I108</f>
        <v>0</v>
      </c>
      <c r="K108" s="43"/>
      <c r="L108" s="43"/>
      <c r="M108" s="43"/>
      <c r="N108" s="43"/>
      <c r="O108" s="43"/>
    </row>
    <row r="109" spans="1:15" ht="15.75" customHeight="1" x14ac:dyDescent="0.25">
      <c r="A109" s="38"/>
      <c r="B109" s="62"/>
      <c r="C109" s="43"/>
      <c r="D109" s="43">
        <f>WEEKNUM(INCIDENCIAS!$C109)</f>
        <v>0</v>
      </c>
      <c r="E109" s="62"/>
      <c r="F109" s="62"/>
      <c r="G109" s="43"/>
      <c r="H109" s="43"/>
      <c r="I109" s="45"/>
      <c r="J109" s="45">
        <f>INCIDENCIAS!$H109*INCIDENCIAS!$I109</f>
        <v>0</v>
      </c>
      <c r="K109" s="43"/>
      <c r="L109" s="43"/>
      <c r="M109" s="43"/>
      <c r="N109" s="43"/>
      <c r="O109" s="43"/>
    </row>
    <row r="110" spans="1:15" ht="15.75" customHeight="1" x14ac:dyDescent="0.25">
      <c r="A110" s="38"/>
      <c r="B110" s="62"/>
      <c r="C110" s="43"/>
      <c r="D110" s="43">
        <f>WEEKNUM(INCIDENCIAS!$C110)</f>
        <v>0</v>
      </c>
      <c r="E110" s="62"/>
      <c r="F110" s="62"/>
      <c r="G110" s="43"/>
      <c r="H110" s="43"/>
      <c r="I110" s="45"/>
      <c r="J110" s="45">
        <f>INCIDENCIAS!$H110*INCIDENCIAS!$I110</f>
        <v>0</v>
      </c>
      <c r="K110" s="43"/>
      <c r="L110" s="43"/>
      <c r="M110" s="43"/>
      <c r="N110" s="43"/>
      <c r="O110" s="43"/>
    </row>
    <row r="111" spans="1:15" ht="15.75" customHeight="1" x14ac:dyDescent="0.25">
      <c r="A111" s="38"/>
      <c r="B111" s="62"/>
      <c r="C111" s="43"/>
      <c r="D111" s="43">
        <f>WEEKNUM(INCIDENCIAS!$C111)</f>
        <v>0</v>
      </c>
      <c r="E111" s="62"/>
      <c r="F111" s="62"/>
      <c r="G111" s="43"/>
      <c r="H111" s="43"/>
      <c r="I111" s="45"/>
      <c r="J111" s="45">
        <f>INCIDENCIAS!$H111*INCIDENCIAS!$I111</f>
        <v>0</v>
      </c>
      <c r="K111" s="43"/>
      <c r="L111" s="43"/>
      <c r="M111" s="43"/>
      <c r="N111" s="43"/>
      <c r="O111" s="43"/>
    </row>
    <row r="112" spans="1:15" ht="15.75" customHeight="1" x14ac:dyDescent="0.25">
      <c r="A112" s="38"/>
      <c r="B112" s="62"/>
      <c r="C112" s="43"/>
      <c r="D112" s="43">
        <f>WEEKNUM(INCIDENCIAS!$C112)</f>
        <v>0</v>
      </c>
      <c r="E112" s="62"/>
      <c r="F112" s="62"/>
      <c r="G112" s="43"/>
      <c r="H112" s="43"/>
      <c r="I112" s="45"/>
      <c r="J112" s="45">
        <f>INCIDENCIAS!$H112*INCIDENCIAS!$I112</f>
        <v>0</v>
      </c>
      <c r="K112" s="43"/>
      <c r="L112" s="43"/>
      <c r="M112" s="43"/>
      <c r="N112" s="43"/>
      <c r="O112" s="43"/>
    </row>
    <row r="113" spans="1:15" ht="15.75" customHeight="1" x14ac:dyDescent="0.25">
      <c r="A113" s="38"/>
      <c r="B113" s="62"/>
      <c r="C113" s="43"/>
      <c r="D113" s="43">
        <f>WEEKNUM(INCIDENCIAS!$C113)</f>
        <v>0</v>
      </c>
      <c r="E113" s="62"/>
      <c r="F113" s="62"/>
      <c r="G113" s="43"/>
      <c r="H113" s="43"/>
      <c r="I113" s="45"/>
      <c r="J113" s="45">
        <f>INCIDENCIAS!$H113*INCIDENCIAS!$I113</f>
        <v>0</v>
      </c>
      <c r="K113" s="43"/>
      <c r="L113" s="43"/>
      <c r="M113" s="43"/>
      <c r="N113" s="43"/>
      <c r="O113" s="43"/>
    </row>
    <row r="114" spans="1:15" ht="15.75" customHeight="1" x14ac:dyDescent="0.25">
      <c r="A114" s="38"/>
      <c r="B114" s="62"/>
      <c r="C114" s="43"/>
      <c r="D114" s="43">
        <f>WEEKNUM(INCIDENCIAS!$C114)</f>
        <v>0</v>
      </c>
      <c r="E114" s="62"/>
      <c r="F114" s="62"/>
      <c r="G114" s="43"/>
      <c r="H114" s="43"/>
      <c r="I114" s="45"/>
      <c r="J114" s="45">
        <f>INCIDENCIAS!$H114*INCIDENCIAS!$I114</f>
        <v>0</v>
      </c>
      <c r="K114" s="43"/>
      <c r="L114" s="43"/>
      <c r="M114" s="43"/>
      <c r="N114" s="43"/>
      <c r="O114" s="43"/>
    </row>
    <row r="115" spans="1:15" ht="15.75" customHeight="1" x14ac:dyDescent="0.25">
      <c r="A115" s="38"/>
      <c r="B115" s="62"/>
      <c r="C115" s="43"/>
      <c r="D115" s="43">
        <f>WEEKNUM(INCIDENCIAS!$C115)</f>
        <v>0</v>
      </c>
      <c r="E115" s="62"/>
      <c r="F115" s="62"/>
      <c r="G115" s="43"/>
      <c r="H115" s="43"/>
      <c r="I115" s="45"/>
      <c r="J115" s="45">
        <f>INCIDENCIAS!$H115*INCIDENCIAS!$I115</f>
        <v>0</v>
      </c>
      <c r="K115" s="43"/>
      <c r="L115" s="43"/>
      <c r="M115" s="43"/>
      <c r="N115" s="43"/>
      <c r="O115" s="43"/>
    </row>
    <row r="116" spans="1:15" ht="15.75" customHeight="1" x14ac:dyDescent="0.25">
      <c r="A116" s="38"/>
      <c r="B116" s="62"/>
      <c r="C116" s="43"/>
      <c r="D116" s="43">
        <f>WEEKNUM(INCIDENCIAS!$C116)</f>
        <v>0</v>
      </c>
      <c r="E116" s="62"/>
      <c r="F116" s="62"/>
      <c r="G116" s="43"/>
      <c r="H116" s="43"/>
      <c r="I116" s="45"/>
      <c r="J116" s="45">
        <f>INCIDENCIAS!$H116*INCIDENCIAS!$I116</f>
        <v>0</v>
      </c>
      <c r="K116" s="43"/>
      <c r="L116" s="43"/>
      <c r="M116" s="43"/>
      <c r="N116" s="43"/>
      <c r="O116" s="43"/>
    </row>
    <row r="117" spans="1:15" ht="15.75" customHeight="1" x14ac:dyDescent="0.25">
      <c r="A117" s="38"/>
      <c r="B117" s="62"/>
      <c r="C117" s="43"/>
      <c r="D117" s="43">
        <f>WEEKNUM(INCIDENCIAS!$C117)</f>
        <v>0</v>
      </c>
      <c r="E117" s="62"/>
      <c r="F117" s="62"/>
      <c r="G117" s="43"/>
      <c r="H117" s="43"/>
      <c r="I117" s="45"/>
      <c r="J117" s="45">
        <f>INCIDENCIAS!$H117*INCIDENCIAS!$I117</f>
        <v>0</v>
      </c>
      <c r="K117" s="43"/>
      <c r="L117" s="43"/>
      <c r="M117" s="43"/>
      <c r="N117" s="43"/>
      <c r="O117" s="43"/>
    </row>
    <row r="118" spans="1:15" ht="15.75" customHeight="1" x14ac:dyDescent="0.25">
      <c r="A118" s="38"/>
      <c r="B118" s="62"/>
      <c r="C118" s="43"/>
      <c r="D118" s="43">
        <f>WEEKNUM(INCIDENCIAS!$C118)</f>
        <v>0</v>
      </c>
      <c r="E118" s="62"/>
      <c r="F118" s="62"/>
      <c r="G118" s="43"/>
      <c r="H118" s="43"/>
      <c r="I118" s="45"/>
      <c r="J118" s="45">
        <f>INCIDENCIAS!$H118*INCIDENCIAS!$I118</f>
        <v>0</v>
      </c>
      <c r="K118" s="43"/>
      <c r="L118" s="43"/>
      <c r="M118" s="43"/>
      <c r="N118" s="43"/>
      <c r="O118" s="43"/>
    </row>
    <row r="119" spans="1:15" ht="15.75" customHeight="1" x14ac:dyDescent="0.25">
      <c r="A119" s="38"/>
      <c r="B119" s="62"/>
      <c r="C119" s="43"/>
      <c r="D119" s="43">
        <f>WEEKNUM(INCIDENCIAS!$C119)</f>
        <v>0</v>
      </c>
      <c r="E119" s="62"/>
      <c r="F119" s="62"/>
      <c r="G119" s="43"/>
      <c r="H119" s="43"/>
      <c r="I119" s="45"/>
      <c r="J119" s="45">
        <f>INCIDENCIAS!$H119*INCIDENCIAS!$I119</f>
        <v>0</v>
      </c>
      <c r="K119" s="43"/>
      <c r="L119" s="43"/>
      <c r="M119" s="43"/>
      <c r="N119" s="43"/>
      <c r="O119" s="43"/>
    </row>
    <row r="120" spans="1:15" ht="15.75" customHeight="1" x14ac:dyDescent="0.25">
      <c r="A120" s="38"/>
      <c r="B120" s="62"/>
      <c r="C120" s="43"/>
      <c r="D120" s="43">
        <f>WEEKNUM(INCIDENCIAS!$C120)</f>
        <v>0</v>
      </c>
      <c r="E120" s="62"/>
      <c r="F120" s="62"/>
      <c r="G120" s="43"/>
      <c r="H120" s="43"/>
      <c r="I120" s="45"/>
      <c r="J120" s="45">
        <f>INCIDENCIAS!$H120*INCIDENCIAS!$I120</f>
        <v>0</v>
      </c>
      <c r="K120" s="43"/>
      <c r="L120" s="43"/>
      <c r="M120" s="43"/>
      <c r="N120" s="43"/>
      <c r="O120" s="43"/>
    </row>
    <row r="121" spans="1:15" ht="15.75" customHeight="1" x14ac:dyDescent="0.25">
      <c r="A121" s="38"/>
      <c r="B121" s="62"/>
      <c r="C121" s="43"/>
      <c r="D121" s="43">
        <f>WEEKNUM(INCIDENCIAS!$C121)</f>
        <v>0</v>
      </c>
      <c r="E121" s="62"/>
      <c r="F121" s="62"/>
      <c r="G121" s="43"/>
      <c r="H121" s="43"/>
      <c r="I121" s="45"/>
      <c r="J121" s="45">
        <f>INCIDENCIAS!$H121*INCIDENCIAS!$I121</f>
        <v>0</v>
      </c>
      <c r="K121" s="43"/>
      <c r="L121" s="43"/>
      <c r="M121" s="43"/>
      <c r="N121" s="43"/>
      <c r="O121" s="43"/>
    </row>
    <row r="122" spans="1:15" ht="15.75" customHeight="1" x14ac:dyDescent="0.25">
      <c r="A122" s="38"/>
      <c r="B122" s="62"/>
      <c r="C122" s="43"/>
      <c r="D122" s="43">
        <f>WEEKNUM(INCIDENCIAS!$C122)</f>
        <v>0</v>
      </c>
      <c r="E122" s="62"/>
      <c r="F122" s="62"/>
      <c r="G122" s="43"/>
      <c r="H122" s="43"/>
      <c r="I122" s="45"/>
      <c r="J122" s="45">
        <f>INCIDENCIAS!$H122*INCIDENCIAS!$I122</f>
        <v>0</v>
      </c>
      <c r="K122" s="43"/>
      <c r="L122" s="43"/>
      <c r="M122" s="43"/>
      <c r="N122" s="43"/>
      <c r="O122" s="43"/>
    </row>
    <row r="123" spans="1:15" ht="15.75" customHeight="1" x14ac:dyDescent="0.25">
      <c r="A123" s="38"/>
      <c r="B123" s="62"/>
      <c r="C123" s="43"/>
      <c r="D123" s="43">
        <f>WEEKNUM(INCIDENCIAS!$C123)</f>
        <v>0</v>
      </c>
      <c r="E123" s="62"/>
      <c r="F123" s="62"/>
      <c r="G123" s="43"/>
      <c r="H123" s="43"/>
      <c r="I123" s="45"/>
      <c r="J123" s="45">
        <f>INCIDENCIAS!$H123*INCIDENCIAS!$I123</f>
        <v>0</v>
      </c>
      <c r="K123" s="43"/>
      <c r="L123" s="43"/>
      <c r="M123" s="43"/>
      <c r="N123" s="43"/>
      <c r="O123" s="43"/>
    </row>
    <row r="124" spans="1:15" ht="15.75" customHeight="1" x14ac:dyDescent="0.25">
      <c r="A124" s="38"/>
      <c r="B124" s="62"/>
      <c r="C124" s="43"/>
      <c r="D124" s="43">
        <f>WEEKNUM(INCIDENCIAS!$C124)</f>
        <v>0</v>
      </c>
      <c r="E124" s="62"/>
      <c r="F124" s="62"/>
      <c r="G124" s="43"/>
      <c r="H124" s="43"/>
      <c r="I124" s="45"/>
      <c r="J124" s="45">
        <f>INCIDENCIAS!$H124*INCIDENCIAS!$I124</f>
        <v>0</v>
      </c>
      <c r="K124" s="43"/>
      <c r="L124" s="43"/>
      <c r="M124" s="43"/>
      <c r="N124" s="43"/>
      <c r="O124" s="43"/>
    </row>
    <row r="125" spans="1:15" ht="15.75" customHeight="1" x14ac:dyDescent="0.25">
      <c r="A125" s="38"/>
      <c r="B125" s="62"/>
      <c r="C125" s="43"/>
      <c r="D125" s="43">
        <f>WEEKNUM(INCIDENCIAS!$C125)</f>
        <v>0</v>
      </c>
      <c r="E125" s="62"/>
      <c r="F125" s="62"/>
      <c r="G125" s="43"/>
      <c r="H125" s="43"/>
      <c r="I125" s="45"/>
      <c r="J125" s="45">
        <f>INCIDENCIAS!$H125*INCIDENCIAS!$I125</f>
        <v>0</v>
      </c>
      <c r="K125" s="43"/>
      <c r="L125" s="43"/>
      <c r="M125" s="43"/>
      <c r="N125" s="43"/>
      <c r="O125" s="43"/>
    </row>
    <row r="126" spans="1:15" ht="15.75" customHeight="1" x14ac:dyDescent="0.25">
      <c r="A126" s="38"/>
      <c r="B126" s="62"/>
      <c r="C126" s="43"/>
      <c r="D126" s="43">
        <f>WEEKNUM(INCIDENCIAS!$C126)</f>
        <v>0</v>
      </c>
      <c r="E126" s="62"/>
      <c r="F126" s="62"/>
      <c r="G126" s="43"/>
      <c r="H126" s="43"/>
      <c r="I126" s="45"/>
      <c r="J126" s="45">
        <f>INCIDENCIAS!$H126*INCIDENCIAS!$I126</f>
        <v>0</v>
      </c>
      <c r="K126" s="43"/>
      <c r="L126" s="43"/>
      <c r="M126" s="43"/>
      <c r="N126" s="43"/>
      <c r="O126" s="43"/>
    </row>
    <row r="127" spans="1:15" ht="15.75" customHeight="1" x14ac:dyDescent="0.25">
      <c r="A127" s="38"/>
      <c r="B127" s="62"/>
      <c r="C127" s="43"/>
      <c r="D127" s="43">
        <f>WEEKNUM(INCIDENCIAS!$C127)</f>
        <v>0</v>
      </c>
      <c r="E127" s="62"/>
      <c r="F127" s="62"/>
      <c r="G127" s="43"/>
      <c r="H127" s="43"/>
      <c r="I127" s="45"/>
      <c r="J127" s="45">
        <f>INCIDENCIAS!$H127*INCIDENCIAS!$I127</f>
        <v>0</v>
      </c>
      <c r="K127" s="43"/>
      <c r="L127" s="43"/>
      <c r="M127" s="43"/>
      <c r="N127" s="43"/>
      <c r="O127" s="43"/>
    </row>
    <row r="128" spans="1:15" ht="15.75" customHeight="1" x14ac:dyDescent="0.25">
      <c r="A128" s="38"/>
      <c r="B128" s="62"/>
      <c r="C128" s="43"/>
      <c r="D128" s="43">
        <f>WEEKNUM(INCIDENCIAS!$C128)</f>
        <v>0</v>
      </c>
      <c r="E128" s="62"/>
      <c r="F128" s="62"/>
      <c r="G128" s="43"/>
      <c r="H128" s="43"/>
      <c r="I128" s="45"/>
      <c r="J128" s="45">
        <f>INCIDENCIAS!$H128*INCIDENCIAS!$I128</f>
        <v>0</v>
      </c>
      <c r="K128" s="43"/>
      <c r="L128" s="43"/>
      <c r="M128" s="43"/>
      <c r="N128" s="43"/>
      <c r="O128" s="43"/>
    </row>
    <row r="129" spans="1:15" ht="15.75" customHeight="1" x14ac:dyDescent="0.25">
      <c r="A129" s="38"/>
      <c r="B129" s="62"/>
      <c r="C129" s="43"/>
      <c r="D129" s="43">
        <f>WEEKNUM(INCIDENCIAS!$C129)</f>
        <v>0</v>
      </c>
      <c r="E129" s="62"/>
      <c r="F129" s="62"/>
      <c r="G129" s="43"/>
      <c r="H129" s="43"/>
      <c r="I129" s="45"/>
      <c r="J129" s="45">
        <f>INCIDENCIAS!$H129*INCIDENCIAS!$I129</f>
        <v>0</v>
      </c>
      <c r="K129" s="43"/>
      <c r="L129" s="43"/>
      <c r="M129" s="43"/>
      <c r="N129" s="43"/>
      <c r="O129" s="43"/>
    </row>
    <row r="130" spans="1:15" ht="15.75" customHeight="1" x14ac:dyDescent="0.25">
      <c r="A130" s="38"/>
      <c r="B130" s="62"/>
      <c r="C130" s="43"/>
      <c r="D130" s="43">
        <f>WEEKNUM(INCIDENCIAS!$C130)</f>
        <v>0</v>
      </c>
      <c r="E130" s="62"/>
      <c r="F130" s="62"/>
      <c r="G130" s="43"/>
      <c r="H130" s="43"/>
      <c r="I130" s="45"/>
      <c r="J130" s="45">
        <f>INCIDENCIAS!$H130*INCIDENCIAS!$I130</f>
        <v>0</v>
      </c>
      <c r="K130" s="43"/>
      <c r="L130" s="43"/>
      <c r="M130" s="43"/>
      <c r="N130" s="43"/>
      <c r="O130" s="43"/>
    </row>
    <row r="131" spans="1:15" ht="15.75" customHeight="1" x14ac:dyDescent="0.25">
      <c r="A131" s="38"/>
      <c r="B131" s="62"/>
      <c r="C131" s="43"/>
      <c r="D131" s="43">
        <f>WEEKNUM(INCIDENCIAS!$C131)</f>
        <v>0</v>
      </c>
      <c r="E131" s="62"/>
      <c r="F131" s="62"/>
      <c r="G131" s="43"/>
      <c r="H131" s="43"/>
      <c r="I131" s="45"/>
      <c r="J131" s="45">
        <f>INCIDENCIAS!$H131*INCIDENCIAS!$I131</f>
        <v>0</v>
      </c>
      <c r="K131" s="43"/>
      <c r="L131" s="43"/>
      <c r="M131" s="43"/>
      <c r="N131" s="43"/>
      <c r="O131" s="43"/>
    </row>
    <row r="132" spans="1:15" ht="15.75" customHeight="1" x14ac:dyDescent="0.25">
      <c r="A132" s="38"/>
      <c r="B132" s="62"/>
      <c r="C132" s="43"/>
      <c r="D132" s="43">
        <f>WEEKNUM(INCIDENCIAS!$C132)</f>
        <v>0</v>
      </c>
      <c r="E132" s="62"/>
      <c r="F132" s="62"/>
      <c r="G132" s="43"/>
      <c r="H132" s="43"/>
      <c r="I132" s="45"/>
      <c r="J132" s="45">
        <f>INCIDENCIAS!$H132*INCIDENCIAS!$I132</f>
        <v>0</v>
      </c>
      <c r="K132" s="43"/>
      <c r="L132" s="43"/>
      <c r="M132" s="43"/>
      <c r="N132" s="43"/>
      <c r="O132" s="43"/>
    </row>
    <row r="133" spans="1:15" ht="15.75" customHeight="1" x14ac:dyDescent="0.25">
      <c r="A133" s="38"/>
      <c r="B133" s="62"/>
      <c r="C133" s="43"/>
      <c r="D133" s="43">
        <f>WEEKNUM(INCIDENCIAS!$C133)</f>
        <v>0</v>
      </c>
      <c r="E133" s="62"/>
      <c r="F133" s="62"/>
      <c r="G133" s="43"/>
      <c r="H133" s="43"/>
      <c r="I133" s="45"/>
      <c r="J133" s="45">
        <f>INCIDENCIAS!$H133*INCIDENCIAS!$I133</f>
        <v>0</v>
      </c>
      <c r="K133" s="43"/>
      <c r="L133" s="43"/>
      <c r="M133" s="43"/>
      <c r="N133" s="43"/>
      <c r="O133" s="43"/>
    </row>
    <row r="134" spans="1:15" ht="15.75" customHeight="1" x14ac:dyDescent="0.25">
      <c r="A134" s="38"/>
      <c r="B134" s="62"/>
      <c r="C134" s="43"/>
      <c r="D134" s="43">
        <f>WEEKNUM(INCIDENCIAS!$C134)</f>
        <v>0</v>
      </c>
      <c r="E134" s="62"/>
      <c r="F134" s="62"/>
      <c r="G134" s="43"/>
      <c r="H134" s="43"/>
      <c r="I134" s="45"/>
      <c r="J134" s="45">
        <f>INCIDENCIAS!$H134*INCIDENCIAS!$I134</f>
        <v>0</v>
      </c>
      <c r="K134" s="43"/>
      <c r="L134" s="43"/>
      <c r="M134" s="43"/>
      <c r="N134" s="43"/>
      <c r="O134" s="43"/>
    </row>
    <row r="135" spans="1:15" ht="15.75" customHeight="1" x14ac:dyDescent="0.25">
      <c r="A135" s="38"/>
      <c r="B135" s="62"/>
      <c r="C135" s="43"/>
      <c r="D135" s="43">
        <f>WEEKNUM(INCIDENCIAS!$C135)</f>
        <v>0</v>
      </c>
      <c r="E135" s="62"/>
      <c r="F135" s="62"/>
      <c r="G135" s="43"/>
      <c r="H135" s="43"/>
      <c r="I135" s="45"/>
      <c r="J135" s="45">
        <f>INCIDENCIAS!$H135*INCIDENCIAS!$I135</f>
        <v>0</v>
      </c>
      <c r="K135" s="43"/>
      <c r="L135" s="43"/>
      <c r="M135" s="43"/>
      <c r="N135" s="43"/>
      <c r="O135" s="43"/>
    </row>
    <row r="136" spans="1:15" ht="15.75" customHeight="1" x14ac:dyDescent="0.25">
      <c r="A136" s="38"/>
      <c r="B136" s="62"/>
      <c r="C136" s="43"/>
      <c r="D136" s="43">
        <f>WEEKNUM(INCIDENCIAS!$C136)</f>
        <v>0</v>
      </c>
      <c r="E136" s="62"/>
      <c r="F136" s="62"/>
      <c r="G136" s="43"/>
      <c r="H136" s="43"/>
      <c r="I136" s="45"/>
      <c r="J136" s="45">
        <f>INCIDENCIAS!$H136*INCIDENCIAS!$I136</f>
        <v>0</v>
      </c>
      <c r="K136" s="43"/>
      <c r="L136" s="43"/>
      <c r="M136" s="43"/>
      <c r="N136" s="43"/>
      <c r="O136" s="43"/>
    </row>
    <row r="137" spans="1:15" ht="15.75" customHeight="1" x14ac:dyDescent="0.25">
      <c r="A137" s="38"/>
      <c r="B137" s="62"/>
      <c r="C137" s="43"/>
      <c r="D137" s="43">
        <f>WEEKNUM(INCIDENCIAS!$C137)</f>
        <v>0</v>
      </c>
      <c r="E137" s="62"/>
      <c r="F137" s="62"/>
      <c r="G137" s="43"/>
      <c r="H137" s="43"/>
      <c r="I137" s="45"/>
      <c r="J137" s="45">
        <f>INCIDENCIAS!$H137*INCIDENCIAS!$I137</f>
        <v>0</v>
      </c>
      <c r="K137" s="43"/>
      <c r="L137" s="43"/>
      <c r="M137" s="43"/>
      <c r="N137" s="43"/>
      <c r="O137" s="43"/>
    </row>
    <row r="138" spans="1:15" ht="15.75" customHeight="1" x14ac:dyDescent="0.25">
      <c r="A138" s="38"/>
      <c r="B138" s="62"/>
      <c r="C138" s="43"/>
      <c r="D138" s="43">
        <f>WEEKNUM(INCIDENCIAS!$C138)</f>
        <v>0</v>
      </c>
      <c r="E138" s="62"/>
      <c r="F138" s="62"/>
      <c r="G138" s="43"/>
      <c r="H138" s="43"/>
      <c r="I138" s="45"/>
      <c r="J138" s="45">
        <f>INCIDENCIAS!$H138*INCIDENCIAS!$I138</f>
        <v>0</v>
      </c>
      <c r="K138" s="43"/>
      <c r="L138" s="43"/>
      <c r="M138" s="43"/>
      <c r="N138" s="43"/>
      <c r="O138" s="43"/>
    </row>
    <row r="139" spans="1:15" ht="15.75" customHeight="1" x14ac:dyDescent="0.25">
      <c r="A139" s="38"/>
      <c r="B139" s="62"/>
      <c r="C139" s="43"/>
      <c r="D139" s="43">
        <f>WEEKNUM(INCIDENCIAS!$C139)</f>
        <v>0</v>
      </c>
      <c r="E139" s="62"/>
      <c r="F139" s="62"/>
      <c r="G139" s="43"/>
      <c r="H139" s="43"/>
      <c r="I139" s="45"/>
      <c r="J139" s="45">
        <f>INCIDENCIAS!$H139*INCIDENCIAS!$I139</f>
        <v>0</v>
      </c>
      <c r="K139" s="43"/>
      <c r="L139" s="43"/>
      <c r="M139" s="43"/>
      <c r="N139" s="43"/>
      <c r="O139" s="43"/>
    </row>
    <row r="140" spans="1:15" ht="15.75" customHeight="1" x14ac:dyDescent="0.25">
      <c r="A140" s="38"/>
      <c r="B140" s="62"/>
      <c r="C140" s="43"/>
      <c r="D140" s="43">
        <f>WEEKNUM(INCIDENCIAS!$C140)</f>
        <v>0</v>
      </c>
      <c r="E140" s="62"/>
      <c r="F140" s="62"/>
      <c r="G140" s="43"/>
      <c r="H140" s="43"/>
      <c r="I140" s="45"/>
      <c r="J140" s="45">
        <f>INCIDENCIAS!$H140*INCIDENCIAS!$I140</f>
        <v>0</v>
      </c>
      <c r="K140" s="43"/>
      <c r="L140" s="43"/>
      <c r="M140" s="43"/>
      <c r="N140" s="43"/>
      <c r="O140" s="43"/>
    </row>
    <row r="141" spans="1:15" ht="15.75" customHeight="1" x14ac:dyDescent="0.25">
      <c r="A141" s="38"/>
      <c r="B141" s="62"/>
      <c r="C141" s="43"/>
      <c r="D141" s="43">
        <f>WEEKNUM(INCIDENCIAS!$C141)</f>
        <v>0</v>
      </c>
      <c r="E141" s="62"/>
      <c r="F141" s="62"/>
      <c r="G141" s="43"/>
      <c r="H141" s="43"/>
      <c r="I141" s="45"/>
      <c r="J141" s="45">
        <f>INCIDENCIAS!$H141*INCIDENCIAS!$I141</f>
        <v>0</v>
      </c>
      <c r="K141" s="43"/>
      <c r="L141" s="43"/>
      <c r="M141" s="43"/>
      <c r="N141" s="43"/>
      <c r="O141" s="43"/>
    </row>
    <row r="142" spans="1:15" ht="15.75" customHeight="1" x14ac:dyDescent="0.25">
      <c r="A142" s="38"/>
      <c r="B142" s="62"/>
      <c r="C142" s="43"/>
      <c r="D142" s="43">
        <f>WEEKNUM(INCIDENCIAS!$C142)</f>
        <v>0</v>
      </c>
      <c r="E142" s="62"/>
      <c r="F142" s="62"/>
      <c r="G142" s="43"/>
      <c r="H142" s="43"/>
      <c r="I142" s="45"/>
      <c r="J142" s="45">
        <f>INCIDENCIAS!$H142*INCIDENCIAS!$I142</f>
        <v>0</v>
      </c>
      <c r="K142" s="43"/>
      <c r="L142" s="43"/>
      <c r="M142" s="43"/>
      <c r="N142" s="43"/>
      <c r="O142" s="43"/>
    </row>
    <row r="143" spans="1:15" ht="15.75" customHeight="1" x14ac:dyDescent="0.25">
      <c r="A143" s="38"/>
      <c r="B143" s="62"/>
      <c r="C143" s="43"/>
      <c r="D143" s="43">
        <f>WEEKNUM(INCIDENCIAS!$C143)</f>
        <v>0</v>
      </c>
      <c r="E143" s="62"/>
      <c r="F143" s="62"/>
      <c r="G143" s="43"/>
      <c r="H143" s="43"/>
      <c r="I143" s="45"/>
      <c r="J143" s="45">
        <f>INCIDENCIAS!$H143*INCIDENCIAS!$I143</f>
        <v>0</v>
      </c>
      <c r="K143" s="43"/>
      <c r="L143" s="43"/>
      <c r="M143" s="43"/>
      <c r="N143" s="43"/>
      <c r="O143" s="43"/>
    </row>
    <row r="144" spans="1:15" ht="15.75" customHeight="1" x14ac:dyDescent="0.25">
      <c r="A144" s="38"/>
      <c r="B144" s="62"/>
      <c r="C144" s="43"/>
      <c r="D144" s="43">
        <f>WEEKNUM(INCIDENCIAS!$C144)</f>
        <v>0</v>
      </c>
      <c r="E144" s="62"/>
      <c r="F144" s="62"/>
      <c r="G144" s="43"/>
      <c r="H144" s="43"/>
      <c r="I144" s="45"/>
      <c r="J144" s="45">
        <f>INCIDENCIAS!$H144*INCIDENCIAS!$I144</f>
        <v>0</v>
      </c>
      <c r="K144" s="43"/>
      <c r="L144" s="43"/>
      <c r="M144" s="43"/>
      <c r="N144" s="43"/>
      <c r="O144" s="43"/>
    </row>
    <row r="145" spans="1:15" ht="15.75" customHeight="1" x14ac:dyDescent="0.25">
      <c r="A145" s="38"/>
      <c r="B145" s="62"/>
      <c r="C145" s="43"/>
      <c r="D145" s="43">
        <f>WEEKNUM(INCIDENCIAS!$C145)</f>
        <v>0</v>
      </c>
      <c r="E145" s="62"/>
      <c r="F145" s="62"/>
      <c r="G145" s="43"/>
      <c r="H145" s="43"/>
      <c r="I145" s="45"/>
      <c r="J145" s="45">
        <f>INCIDENCIAS!$H145*INCIDENCIAS!$I145</f>
        <v>0</v>
      </c>
      <c r="K145" s="43"/>
      <c r="L145" s="43"/>
      <c r="M145" s="43"/>
      <c r="N145" s="43"/>
      <c r="O145" s="43"/>
    </row>
    <row r="146" spans="1:15" ht="15.75" customHeight="1" x14ac:dyDescent="0.25">
      <c r="A146" s="38"/>
      <c r="B146" s="62"/>
      <c r="C146" s="43"/>
      <c r="D146" s="43">
        <f>WEEKNUM(INCIDENCIAS!$C146)</f>
        <v>0</v>
      </c>
      <c r="E146" s="62"/>
      <c r="F146" s="62"/>
      <c r="G146" s="43"/>
      <c r="H146" s="43"/>
      <c r="I146" s="45"/>
      <c r="J146" s="45">
        <f>INCIDENCIAS!$H146*INCIDENCIAS!$I146</f>
        <v>0</v>
      </c>
      <c r="K146" s="43"/>
      <c r="L146" s="43"/>
      <c r="M146" s="43"/>
      <c r="N146" s="43"/>
      <c r="O146" s="43"/>
    </row>
    <row r="147" spans="1:15" ht="15.75" customHeight="1" x14ac:dyDescent="0.25">
      <c r="A147" s="38"/>
      <c r="B147" s="62"/>
      <c r="C147" s="43"/>
      <c r="D147" s="43">
        <f>WEEKNUM(INCIDENCIAS!$C147)</f>
        <v>0</v>
      </c>
      <c r="E147" s="62"/>
      <c r="F147" s="62"/>
      <c r="G147" s="43"/>
      <c r="H147" s="43"/>
      <c r="I147" s="45"/>
      <c r="J147" s="45">
        <f>INCIDENCIAS!$H147*INCIDENCIAS!$I147</f>
        <v>0</v>
      </c>
      <c r="K147" s="43"/>
      <c r="L147" s="43"/>
      <c r="M147" s="43"/>
      <c r="N147" s="43"/>
      <c r="O147" s="43"/>
    </row>
    <row r="148" spans="1:15" ht="15.75" customHeight="1" x14ac:dyDescent="0.25">
      <c r="A148" s="38"/>
      <c r="B148" s="62"/>
      <c r="C148" s="43"/>
      <c r="D148" s="43">
        <f>WEEKNUM(INCIDENCIAS!$C148)</f>
        <v>0</v>
      </c>
      <c r="E148" s="62"/>
      <c r="F148" s="62"/>
      <c r="G148" s="43"/>
      <c r="H148" s="43"/>
      <c r="I148" s="45"/>
      <c r="J148" s="45">
        <f>INCIDENCIAS!$H148*INCIDENCIAS!$I148</f>
        <v>0</v>
      </c>
      <c r="K148" s="43"/>
      <c r="L148" s="43"/>
      <c r="M148" s="43"/>
      <c r="N148" s="43"/>
      <c r="O148" s="43"/>
    </row>
    <row r="149" spans="1:15" ht="15.75" customHeight="1" x14ac:dyDescent="0.25">
      <c r="A149" s="38"/>
      <c r="B149" s="62"/>
      <c r="C149" s="43"/>
      <c r="D149" s="43">
        <f>WEEKNUM(INCIDENCIAS!$C149)</f>
        <v>0</v>
      </c>
      <c r="E149" s="62"/>
      <c r="F149" s="62"/>
      <c r="G149" s="43"/>
      <c r="H149" s="43"/>
      <c r="I149" s="45"/>
      <c r="J149" s="45">
        <f>INCIDENCIAS!$H149*INCIDENCIAS!$I149</f>
        <v>0</v>
      </c>
      <c r="K149" s="43"/>
      <c r="L149" s="43"/>
      <c r="M149" s="43"/>
      <c r="N149" s="43"/>
      <c r="O149" s="43"/>
    </row>
    <row r="150" spans="1:15" ht="15.75" customHeight="1" x14ac:dyDescent="0.25">
      <c r="A150" s="38"/>
      <c r="B150" s="62"/>
      <c r="C150" s="43"/>
      <c r="D150" s="43">
        <f>WEEKNUM(INCIDENCIAS!$C150)</f>
        <v>0</v>
      </c>
      <c r="E150" s="62"/>
      <c r="F150" s="62"/>
      <c r="G150" s="43"/>
      <c r="H150" s="43"/>
      <c r="I150" s="45"/>
      <c r="J150" s="45">
        <f>INCIDENCIAS!$H150*INCIDENCIAS!$I150</f>
        <v>0</v>
      </c>
      <c r="K150" s="43"/>
      <c r="L150" s="43"/>
      <c r="M150" s="43"/>
      <c r="N150" s="43"/>
      <c r="O150" s="43"/>
    </row>
    <row r="151" spans="1:15" ht="15.75" customHeight="1" x14ac:dyDescent="0.25">
      <c r="A151" s="38"/>
      <c r="B151" s="62"/>
      <c r="C151" s="43"/>
      <c r="D151" s="43">
        <f>WEEKNUM(INCIDENCIAS!$C151)</f>
        <v>0</v>
      </c>
      <c r="E151" s="62"/>
      <c r="F151" s="62"/>
      <c r="G151" s="43"/>
      <c r="H151" s="43"/>
      <c r="I151" s="45"/>
      <c r="J151" s="45">
        <f>INCIDENCIAS!$H151*INCIDENCIAS!$I151</f>
        <v>0</v>
      </c>
      <c r="K151" s="43"/>
      <c r="L151" s="43"/>
      <c r="M151" s="43"/>
      <c r="N151" s="43"/>
      <c r="O151" s="43"/>
    </row>
    <row r="152" spans="1:15" ht="15.75" customHeight="1" x14ac:dyDescent="0.25">
      <c r="A152" s="38"/>
      <c r="B152" s="62"/>
      <c r="C152" s="43"/>
      <c r="D152" s="43">
        <f>WEEKNUM(INCIDENCIAS!$C152)</f>
        <v>0</v>
      </c>
      <c r="E152" s="62"/>
      <c r="F152" s="62"/>
      <c r="G152" s="43"/>
      <c r="H152" s="43"/>
      <c r="I152" s="45"/>
      <c r="J152" s="45">
        <f>INCIDENCIAS!$H152*INCIDENCIAS!$I152</f>
        <v>0</v>
      </c>
      <c r="K152" s="43"/>
      <c r="L152" s="43"/>
      <c r="M152" s="43"/>
      <c r="N152" s="43"/>
      <c r="O152" s="43"/>
    </row>
    <row r="153" spans="1:15" ht="15.75" customHeight="1" x14ac:dyDescent="0.25">
      <c r="A153" s="38"/>
      <c r="B153" s="62"/>
      <c r="C153" s="43"/>
      <c r="D153" s="43">
        <f>WEEKNUM(INCIDENCIAS!$C153)</f>
        <v>0</v>
      </c>
      <c r="E153" s="62"/>
      <c r="F153" s="62"/>
      <c r="G153" s="43"/>
      <c r="H153" s="43"/>
      <c r="I153" s="45"/>
      <c r="J153" s="45">
        <f>INCIDENCIAS!$H153*INCIDENCIAS!$I153</f>
        <v>0</v>
      </c>
      <c r="K153" s="43"/>
      <c r="L153" s="43"/>
      <c r="M153" s="43"/>
      <c r="N153" s="43"/>
      <c r="O153" s="43"/>
    </row>
    <row r="154" spans="1:15" ht="15.75" customHeight="1" x14ac:dyDescent="0.25">
      <c r="A154" s="38"/>
      <c r="B154" s="62"/>
      <c r="C154" s="43"/>
      <c r="D154" s="43">
        <f>WEEKNUM(INCIDENCIAS!$C154)</f>
        <v>0</v>
      </c>
      <c r="E154" s="62"/>
      <c r="F154" s="62"/>
      <c r="G154" s="43"/>
      <c r="H154" s="43"/>
      <c r="I154" s="45"/>
      <c r="J154" s="45">
        <f>INCIDENCIAS!$H154*INCIDENCIAS!$I154</f>
        <v>0</v>
      </c>
      <c r="K154" s="43"/>
      <c r="L154" s="43"/>
      <c r="M154" s="43"/>
      <c r="N154" s="43"/>
      <c r="O154" s="43"/>
    </row>
    <row r="155" spans="1:15" ht="15.75" customHeight="1" x14ac:dyDescent="0.25">
      <c r="A155" s="38"/>
      <c r="B155" s="62"/>
      <c r="C155" s="43"/>
      <c r="D155" s="43">
        <f>WEEKNUM(INCIDENCIAS!$C155)</f>
        <v>0</v>
      </c>
      <c r="E155" s="62"/>
      <c r="F155" s="62"/>
      <c r="G155" s="43"/>
      <c r="H155" s="43"/>
      <c r="I155" s="45"/>
      <c r="J155" s="45">
        <f>INCIDENCIAS!$H155*INCIDENCIAS!$I155</f>
        <v>0</v>
      </c>
      <c r="K155" s="43"/>
      <c r="L155" s="43"/>
      <c r="M155" s="43"/>
      <c r="N155" s="43"/>
      <c r="O155" s="43"/>
    </row>
    <row r="156" spans="1:15" ht="15.75" customHeight="1" x14ac:dyDescent="0.25">
      <c r="A156" s="38"/>
      <c r="B156" s="62"/>
      <c r="C156" s="43"/>
      <c r="D156" s="43">
        <f>WEEKNUM(INCIDENCIAS!$C156)</f>
        <v>0</v>
      </c>
      <c r="E156" s="62"/>
      <c r="F156" s="62"/>
      <c r="G156" s="43"/>
      <c r="H156" s="43"/>
      <c r="I156" s="45"/>
      <c r="J156" s="45">
        <f>INCIDENCIAS!$H156*INCIDENCIAS!$I156</f>
        <v>0</v>
      </c>
      <c r="K156" s="43"/>
      <c r="L156" s="43"/>
      <c r="M156" s="43"/>
      <c r="N156" s="43"/>
      <c r="O156" s="43"/>
    </row>
    <row r="157" spans="1:15" ht="15.75" customHeight="1" x14ac:dyDescent="0.25">
      <c r="A157" s="38"/>
      <c r="B157" s="62"/>
      <c r="C157" s="43"/>
      <c r="D157" s="43">
        <f>WEEKNUM(INCIDENCIAS!$C157)</f>
        <v>0</v>
      </c>
      <c r="E157" s="62"/>
      <c r="F157" s="62"/>
      <c r="G157" s="43"/>
      <c r="H157" s="43"/>
      <c r="I157" s="45"/>
      <c r="J157" s="45">
        <f>INCIDENCIAS!$H157*INCIDENCIAS!$I157</f>
        <v>0</v>
      </c>
      <c r="K157" s="43"/>
      <c r="L157" s="43"/>
      <c r="M157" s="43"/>
      <c r="N157" s="43"/>
      <c r="O157" s="43"/>
    </row>
    <row r="158" spans="1:15" ht="15.75" customHeight="1" x14ac:dyDescent="0.25">
      <c r="A158" s="38"/>
      <c r="B158" s="62"/>
      <c r="C158" s="43"/>
      <c r="D158" s="43">
        <f>WEEKNUM(INCIDENCIAS!$C158)</f>
        <v>0</v>
      </c>
      <c r="E158" s="62"/>
      <c r="F158" s="62"/>
      <c r="G158" s="43"/>
      <c r="H158" s="43"/>
      <c r="I158" s="45"/>
      <c r="J158" s="45">
        <f>INCIDENCIAS!$H158*INCIDENCIAS!$I158</f>
        <v>0</v>
      </c>
      <c r="K158" s="43"/>
      <c r="L158" s="43"/>
      <c r="M158" s="43"/>
      <c r="N158" s="43"/>
      <c r="O158" s="43"/>
    </row>
    <row r="159" spans="1:15" ht="15.75" customHeight="1" x14ac:dyDescent="0.25">
      <c r="A159" s="38"/>
      <c r="B159" s="62"/>
      <c r="C159" s="43"/>
      <c r="D159" s="43">
        <f>WEEKNUM(INCIDENCIAS!$C159)</f>
        <v>0</v>
      </c>
      <c r="E159" s="62"/>
      <c r="F159" s="62"/>
      <c r="G159" s="43"/>
      <c r="H159" s="43"/>
      <c r="I159" s="45"/>
      <c r="J159" s="45">
        <f>INCIDENCIAS!$H159*INCIDENCIAS!$I159</f>
        <v>0</v>
      </c>
      <c r="K159" s="43"/>
      <c r="L159" s="43"/>
      <c r="M159" s="43"/>
      <c r="N159" s="43"/>
      <c r="O159" s="43"/>
    </row>
    <row r="160" spans="1:15" ht="15.75" customHeight="1" x14ac:dyDescent="0.25">
      <c r="A160" s="38"/>
      <c r="B160" s="62"/>
      <c r="C160" s="43"/>
      <c r="D160" s="43">
        <f>WEEKNUM(INCIDENCIAS!$C160)</f>
        <v>0</v>
      </c>
      <c r="E160" s="62"/>
      <c r="F160" s="62"/>
      <c r="G160" s="43"/>
      <c r="H160" s="43"/>
      <c r="I160" s="45"/>
      <c r="J160" s="45">
        <f>INCIDENCIAS!$H160*INCIDENCIAS!$I160</f>
        <v>0</v>
      </c>
      <c r="K160" s="43"/>
      <c r="L160" s="43"/>
      <c r="M160" s="43"/>
      <c r="N160" s="43"/>
      <c r="O160" s="43"/>
    </row>
    <row r="161" spans="1:15" ht="15.75" customHeight="1" x14ac:dyDescent="0.25">
      <c r="A161" s="38"/>
      <c r="B161" s="62"/>
      <c r="C161" s="43"/>
      <c r="D161" s="43">
        <f>WEEKNUM(INCIDENCIAS!$C161)</f>
        <v>0</v>
      </c>
      <c r="E161" s="62"/>
      <c r="F161" s="62"/>
      <c r="G161" s="43"/>
      <c r="H161" s="43"/>
      <c r="I161" s="45"/>
      <c r="J161" s="45">
        <f>INCIDENCIAS!$H161*INCIDENCIAS!$I161</f>
        <v>0</v>
      </c>
      <c r="K161" s="43"/>
      <c r="L161" s="43"/>
      <c r="M161" s="43"/>
      <c r="N161" s="43"/>
      <c r="O161" s="43"/>
    </row>
    <row r="162" spans="1:15" ht="15.75" customHeight="1" x14ac:dyDescent="0.25">
      <c r="A162" s="38"/>
      <c r="B162" s="62"/>
      <c r="C162" s="43"/>
      <c r="D162" s="43">
        <f>WEEKNUM(INCIDENCIAS!$C162)</f>
        <v>0</v>
      </c>
      <c r="E162" s="62"/>
      <c r="F162" s="62"/>
      <c r="G162" s="43"/>
      <c r="H162" s="43"/>
      <c r="I162" s="45"/>
      <c r="J162" s="45">
        <f>INCIDENCIAS!$H162*INCIDENCIAS!$I162</f>
        <v>0</v>
      </c>
      <c r="K162" s="43"/>
      <c r="L162" s="43"/>
      <c r="M162" s="43"/>
      <c r="N162" s="43"/>
      <c r="O162" s="43"/>
    </row>
    <row r="163" spans="1:15" ht="15.75" customHeight="1" x14ac:dyDescent="0.25">
      <c r="A163" s="38"/>
      <c r="B163" s="62"/>
      <c r="C163" s="43"/>
      <c r="D163" s="43">
        <f>WEEKNUM(INCIDENCIAS!$C163)</f>
        <v>0</v>
      </c>
      <c r="E163" s="62"/>
      <c r="F163" s="62"/>
      <c r="G163" s="43"/>
      <c r="H163" s="43"/>
      <c r="I163" s="45"/>
      <c r="J163" s="45">
        <f>INCIDENCIAS!$H163*INCIDENCIAS!$I163</f>
        <v>0</v>
      </c>
      <c r="K163" s="43"/>
      <c r="L163" s="43"/>
      <c r="M163" s="43"/>
      <c r="N163" s="43"/>
      <c r="O163" s="43"/>
    </row>
    <row r="164" spans="1:15" ht="15.75" customHeight="1" x14ac:dyDescent="0.25">
      <c r="A164" s="38"/>
      <c r="B164" s="62"/>
      <c r="C164" s="43"/>
      <c r="D164" s="43">
        <f>WEEKNUM(INCIDENCIAS!$C164)</f>
        <v>0</v>
      </c>
      <c r="E164" s="62"/>
      <c r="F164" s="62"/>
      <c r="G164" s="43"/>
      <c r="H164" s="43"/>
      <c r="I164" s="45"/>
      <c r="J164" s="45">
        <f>INCIDENCIAS!$H164*INCIDENCIAS!$I164</f>
        <v>0</v>
      </c>
      <c r="K164" s="43"/>
      <c r="L164" s="43"/>
      <c r="M164" s="43"/>
      <c r="N164" s="43"/>
      <c r="O164" s="43"/>
    </row>
    <row r="165" spans="1:15" ht="15.75" customHeight="1" x14ac:dyDescent="0.25">
      <c r="A165" s="38"/>
      <c r="B165" s="62"/>
      <c r="C165" s="43"/>
      <c r="D165" s="43">
        <f>WEEKNUM(INCIDENCIAS!$C165)</f>
        <v>0</v>
      </c>
      <c r="E165" s="62"/>
      <c r="F165" s="62"/>
      <c r="G165" s="43"/>
      <c r="H165" s="43"/>
      <c r="I165" s="45"/>
      <c r="J165" s="45">
        <f>INCIDENCIAS!$H165*INCIDENCIAS!$I165</f>
        <v>0</v>
      </c>
      <c r="K165" s="43"/>
      <c r="L165" s="43"/>
      <c r="M165" s="43"/>
      <c r="N165" s="43"/>
      <c r="O165" s="43"/>
    </row>
    <row r="166" spans="1:15" ht="15.75" customHeight="1" x14ac:dyDescent="0.25">
      <c r="A166" s="38"/>
      <c r="B166" s="62"/>
      <c r="C166" s="43"/>
      <c r="D166" s="43">
        <f>WEEKNUM(INCIDENCIAS!$C166)</f>
        <v>0</v>
      </c>
      <c r="E166" s="62"/>
      <c r="F166" s="62"/>
      <c r="G166" s="43"/>
      <c r="H166" s="43"/>
      <c r="I166" s="45"/>
      <c r="J166" s="45">
        <f>INCIDENCIAS!$H166*INCIDENCIAS!$I166</f>
        <v>0</v>
      </c>
      <c r="K166" s="43"/>
      <c r="L166" s="43"/>
      <c r="M166" s="43"/>
      <c r="N166" s="43"/>
      <c r="O166" s="43"/>
    </row>
    <row r="167" spans="1:15" ht="15.75" customHeight="1" x14ac:dyDescent="0.25">
      <c r="A167" s="38"/>
      <c r="B167" s="62"/>
      <c r="C167" s="43"/>
      <c r="D167" s="43">
        <f>WEEKNUM(INCIDENCIAS!$C167)</f>
        <v>0</v>
      </c>
      <c r="E167" s="62"/>
      <c r="F167" s="62"/>
      <c r="G167" s="43"/>
      <c r="H167" s="43"/>
      <c r="I167" s="45"/>
      <c r="J167" s="45">
        <f>INCIDENCIAS!$H167*INCIDENCIAS!$I167</f>
        <v>0</v>
      </c>
      <c r="K167" s="43"/>
      <c r="L167" s="43"/>
      <c r="M167" s="43"/>
      <c r="N167" s="43"/>
      <c r="O167" s="43"/>
    </row>
    <row r="168" spans="1:15" ht="15.75" customHeight="1" x14ac:dyDescent="0.25">
      <c r="A168" s="38"/>
      <c r="B168" s="62"/>
      <c r="C168" s="43"/>
      <c r="D168" s="43">
        <f>WEEKNUM(INCIDENCIAS!$C168)</f>
        <v>0</v>
      </c>
      <c r="E168" s="62"/>
      <c r="F168" s="62"/>
      <c r="G168" s="43"/>
      <c r="H168" s="43"/>
      <c r="I168" s="45"/>
      <c r="J168" s="45">
        <f>INCIDENCIAS!$H168*INCIDENCIAS!$I168</f>
        <v>0</v>
      </c>
      <c r="K168" s="43"/>
      <c r="L168" s="43"/>
      <c r="M168" s="43"/>
      <c r="N168" s="43"/>
      <c r="O168" s="43"/>
    </row>
    <row r="169" spans="1:15" ht="15.75" customHeight="1" x14ac:dyDescent="0.25">
      <c r="A169" s="38"/>
      <c r="B169" s="62"/>
      <c r="C169" s="43"/>
      <c r="D169" s="43">
        <f>WEEKNUM(INCIDENCIAS!$C169)</f>
        <v>0</v>
      </c>
      <c r="E169" s="62"/>
      <c r="F169" s="62"/>
      <c r="G169" s="43"/>
      <c r="H169" s="43"/>
      <c r="I169" s="45"/>
      <c r="J169" s="45">
        <f>INCIDENCIAS!$H169*INCIDENCIAS!$I169</f>
        <v>0</v>
      </c>
      <c r="K169" s="43"/>
      <c r="L169" s="43"/>
      <c r="M169" s="43"/>
      <c r="N169" s="43"/>
      <c r="O169" s="43"/>
    </row>
    <row r="170" spans="1:15" ht="15.75" customHeight="1" x14ac:dyDescent="0.25">
      <c r="A170" s="38"/>
      <c r="B170" s="62"/>
      <c r="C170" s="43"/>
      <c r="D170" s="43">
        <f>WEEKNUM(INCIDENCIAS!$C170)</f>
        <v>0</v>
      </c>
      <c r="E170" s="62"/>
      <c r="F170" s="62"/>
      <c r="G170" s="43"/>
      <c r="H170" s="43"/>
      <c r="I170" s="45"/>
      <c r="J170" s="45">
        <f>INCIDENCIAS!$H170*INCIDENCIAS!$I170</f>
        <v>0</v>
      </c>
      <c r="K170" s="43"/>
      <c r="L170" s="43"/>
      <c r="M170" s="43"/>
      <c r="N170" s="43"/>
      <c r="O170" s="43"/>
    </row>
    <row r="171" spans="1:15" ht="15.75" customHeight="1" x14ac:dyDescent="0.25">
      <c r="A171" s="38"/>
      <c r="B171" s="62"/>
      <c r="C171" s="43"/>
      <c r="D171" s="43">
        <f>WEEKNUM(INCIDENCIAS!$C171)</f>
        <v>0</v>
      </c>
      <c r="E171" s="62"/>
      <c r="F171" s="62"/>
      <c r="G171" s="43"/>
      <c r="H171" s="43"/>
      <c r="I171" s="45"/>
      <c r="J171" s="45">
        <f>INCIDENCIAS!$H171*INCIDENCIAS!$I171</f>
        <v>0</v>
      </c>
      <c r="K171" s="43"/>
      <c r="L171" s="43"/>
      <c r="M171" s="43"/>
      <c r="N171" s="43"/>
      <c r="O171" s="43"/>
    </row>
    <row r="172" spans="1:15" ht="15.75" customHeight="1" x14ac:dyDescent="0.25">
      <c r="A172" s="38"/>
      <c r="B172" s="62"/>
      <c r="C172" s="43"/>
      <c r="D172" s="43">
        <f>WEEKNUM(INCIDENCIAS!$C172)</f>
        <v>0</v>
      </c>
      <c r="E172" s="62"/>
      <c r="F172" s="62"/>
      <c r="G172" s="43"/>
      <c r="H172" s="43"/>
      <c r="I172" s="45"/>
      <c r="J172" s="45">
        <f>INCIDENCIAS!$H172*INCIDENCIAS!$I172</f>
        <v>0</v>
      </c>
      <c r="K172" s="43"/>
      <c r="L172" s="43"/>
      <c r="M172" s="43"/>
      <c r="N172" s="43"/>
      <c r="O172" s="43"/>
    </row>
    <row r="173" spans="1:15" ht="15.75" customHeight="1" x14ac:dyDescent="0.25">
      <c r="A173" s="38"/>
      <c r="B173" s="62"/>
      <c r="C173" s="43"/>
      <c r="D173" s="43">
        <f>WEEKNUM(INCIDENCIAS!$C173)</f>
        <v>0</v>
      </c>
      <c r="E173" s="62"/>
      <c r="F173" s="62"/>
      <c r="G173" s="43"/>
      <c r="H173" s="43"/>
      <c r="I173" s="45"/>
      <c r="J173" s="45">
        <f>INCIDENCIAS!$H173*INCIDENCIAS!$I173</f>
        <v>0</v>
      </c>
      <c r="K173" s="43"/>
      <c r="L173" s="43"/>
      <c r="M173" s="43"/>
      <c r="N173" s="43"/>
      <c r="O173" s="43"/>
    </row>
    <row r="174" spans="1:15" ht="15.75" customHeight="1" x14ac:dyDescent="0.25">
      <c r="A174" s="38"/>
      <c r="B174" s="62"/>
      <c r="C174" s="43"/>
      <c r="D174" s="43">
        <f>WEEKNUM(INCIDENCIAS!$C174)</f>
        <v>0</v>
      </c>
      <c r="E174" s="62"/>
      <c r="F174" s="62"/>
      <c r="G174" s="43"/>
      <c r="H174" s="43"/>
      <c r="I174" s="45"/>
      <c r="J174" s="45">
        <f>INCIDENCIAS!$H174*INCIDENCIAS!$I174</f>
        <v>0</v>
      </c>
      <c r="K174" s="43"/>
      <c r="L174" s="43"/>
      <c r="M174" s="43"/>
      <c r="N174" s="43"/>
      <c r="O174" s="43"/>
    </row>
    <row r="175" spans="1:15" ht="15.75" customHeight="1" x14ac:dyDescent="0.25">
      <c r="A175" s="38"/>
      <c r="B175" s="62"/>
      <c r="C175" s="43"/>
      <c r="D175" s="43">
        <f>WEEKNUM(INCIDENCIAS!$C175)</f>
        <v>0</v>
      </c>
      <c r="E175" s="62"/>
      <c r="F175" s="62"/>
      <c r="G175" s="43"/>
      <c r="H175" s="43"/>
      <c r="I175" s="45"/>
      <c r="J175" s="45">
        <f>INCIDENCIAS!$H175*INCIDENCIAS!$I175</f>
        <v>0</v>
      </c>
      <c r="K175" s="43"/>
      <c r="L175" s="43"/>
      <c r="M175" s="43"/>
      <c r="N175" s="43"/>
      <c r="O175" s="43"/>
    </row>
    <row r="176" spans="1:15" ht="15.75" customHeight="1" x14ac:dyDescent="0.25">
      <c r="A176" s="38"/>
      <c r="B176" s="62"/>
      <c r="C176" s="43"/>
      <c r="D176" s="43">
        <f>WEEKNUM(INCIDENCIAS!$C176)</f>
        <v>0</v>
      </c>
      <c r="E176" s="62"/>
      <c r="F176" s="62"/>
      <c r="G176" s="43"/>
      <c r="H176" s="43"/>
      <c r="I176" s="45"/>
      <c r="J176" s="45">
        <f>INCIDENCIAS!$H176*INCIDENCIAS!$I176</f>
        <v>0</v>
      </c>
      <c r="K176" s="43"/>
      <c r="L176" s="43"/>
      <c r="M176" s="43"/>
      <c r="N176" s="43"/>
      <c r="O176" s="43"/>
    </row>
    <row r="177" spans="1:15" ht="15.75" customHeight="1" x14ac:dyDescent="0.25">
      <c r="A177" s="38"/>
      <c r="B177" s="62"/>
      <c r="C177" s="43"/>
      <c r="D177" s="43">
        <f>WEEKNUM(INCIDENCIAS!$C177)</f>
        <v>0</v>
      </c>
      <c r="E177" s="62"/>
      <c r="F177" s="62"/>
      <c r="G177" s="43"/>
      <c r="H177" s="43"/>
      <c r="I177" s="45"/>
      <c r="J177" s="45">
        <f>INCIDENCIAS!$H177*INCIDENCIAS!$I177</f>
        <v>0</v>
      </c>
      <c r="K177" s="43"/>
      <c r="L177" s="43"/>
      <c r="M177" s="43"/>
      <c r="N177" s="43"/>
      <c r="O177" s="43"/>
    </row>
    <row r="178" spans="1:15" ht="15.75" customHeight="1" x14ac:dyDescent="0.25">
      <c r="A178" s="38"/>
      <c r="B178" s="62"/>
      <c r="C178" s="43"/>
      <c r="D178" s="43">
        <f>WEEKNUM(INCIDENCIAS!$C178)</f>
        <v>0</v>
      </c>
      <c r="E178" s="62"/>
      <c r="F178" s="62"/>
      <c r="G178" s="43"/>
      <c r="H178" s="43"/>
      <c r="I178" s="45"/>
      <c r="J178" s="45">
        <f>INCIDENCIAS!$H178*INCIDENCIAS!$I178</f>
        <v>0</v>
      </c>
      <c r="K178" s="43"/>
      <c r="L178" s="43"/>
      <c r="M178" s="43"/>
      <c r="N178" s="43"/>
      <c r="O178" s="43"/>
    </row>
    <row r="179" spans="1:15" ht="15.75" customHeight="1" x14ac:dyDescent="0.25">
      <c r="A179" s="38"/>
      <c r="B179" s="62"/>
      <c r="C179" s="43"/>
      <c r="D179" s="43">
        <f>WEEKNUM(INCIDENCIAS!$C179)</f>
        <v>0</v>
      </c>
      <c r="E179" s="62"/>
      <c r="F179" s="62"/>
      <c r="G179" s="43"/>
      <c r="H179" s="43"/>
      <c r="I179" s="45"/>
      <c r="J179" s="45">
        <f>INCIDENCIAS!$H179*INCIDENCIAS!$I179</f>
        <v>0</v>
      </c>
      <c r="K179" s="43"/>
      <c r="L179" s="43"/>
      <c r="M179" s="43"/>
      <c r="N179" s="43"/>
      <c r="O179" s="43"/>
    </row>
    <row r="180" spans="1:15" ht="15.75" customHeight="1" x14ac:dyDescent="0.25">
      <c r="A180" s="38"/>
      <c r="B180" s="62"/>
      <c r="C180" s="43"/>
      <c r="D180" s="43">
        <f>WEEKNUM(INCIDENCIAS!$C180)</f>
        <v>0</v>
      </c>
      <c r="E180" s="62"/>
      <c r="F180" s="62"/>
      <c r="G180" s="43"/>
      <c r="H180" s="43"/>
      <c r="I180" s="45"/>
      <c r="J180" s="45">
        <f>INCIDENCIAS!$H180*INCIDENCIAS!$I180</f>
        <v>0</v>
      </c>
      <c r="K180" s="43"/>
      <c r="L180" s="43"/>
      <c r="M180" s="43"/>
      <c r="N180" s="43"/>
      <c r="O180" s="43"/>
    </row>
    <row r="181" spans="1:15" ht="15.75" customHeight="1" x14ac:dyDescent="0.25">
      <c r="A181" s="38"/>
      <c r="B181" s="62"/>
      <c r="C181" s="43"/>
      <c r="D181" s="43">
        <f>WEEKNUM(INCIDENCIAS!$C181)</f>
        <v>0</v>
      </c>
      <c r="E181" s="62"/>
      <c r="F181" s="62"/>
      <c r="G181" s="43"/>
      <c r="H181" s="43"/>
      <c r="I181" s="45"/>
      <c r="J181" s="45">
        <f>INCIDENCIAS!$H181*INCIDENCIAS!$I181</f>
        <v>0</v>
      </c>
      <c r="K181" s="43"/>
      <c r="L181" s="43"/>
      <c r="M181" s="43"/>
      <c r="N181" s="43"/>
      <c r="O181" s="43"/>
    </row>
    <row r="182" spans="1:15" ht="15.75" customHeight="1" x14ac:dyDescent="0.25">
      <c r="A182" s="38"/>
      <c r="B182" s="62"/>
      <c r="C182" s="43"/>
      <c r="D182" s="43">
        <f>WEEKNUM(INCIDENCIAS!$C182)</f>
        <v>0</v>
      </c>
      <c r="E182" s="62"/>
      <c r="F182" s="62"/>
      <c r="G182" s="43"/>
      <c r="H182" s="43"/>
      <c r="I182" s="45"/>
      <c r="J182" s="45">
        <f>INCIDENCIAS!$H182*INCIDENCIAS!$I182</f>
        <v>0</v>
      </c>
      <c r="K182" s="43"/>
      <c r="L182" s="43"/>
      <c r="M182" s="43"/>
      <c r="N182" s="43"/>
      <c r="O182" s="43"/>
    </row>
    <row r="183" spans="1:15" ht="15.75" customHeight="1" x14ac:dyDescent="0.25">
      <c r="A183" s="38"/>
      <c r="B183" s="62"/>
      <c r="C183" s="43"/>
      <c r="D183" s="43">
        <f>WEEKNUM(INCIDENCIAS!$C183)</f>
        <v>0</v>
      </c>
      <c r="E183" s="62"/>
      <c r="F183" s="62"/>
      <c r="G183" s="43"/>
      <c r="H183" s="43"/>
      <c r="I183" s="45"/>
      <c r="J183" s="45">
        <f>INCIDENCIAS!$H183*INCIDENCIAS!$I183</f>
        <v>0</v>
      </c>
      <c r="K183" s="43"/>
      <c r="L183" s="43"/>
      <c r="M183" s="43"/>
      <c r="N183" s="43"/>
      <c r="O183" s="43"/>
    </row>
    <row r="184" spans="1:15" ht="15.75" customHeight="1" x14ac:dyDescent="0.25">
      <c r="A184" s="38"/>
      <c r="B184" s="62"/>
      <c r="C184" s="43"/>
      <c r="D184" s="43">
        <f>WEEKNUM(INCIDENCIAS!$C184)</f>
        <v>0</v>
      </c>
      <c r="E184" s="62"/>
      <c r="F184" s="62"/>
      <c r="G184" s="43"/>
      <c r="H184" s="43"/>
      <c r="I184" s="45"/>
      <c r="J184" s="45">
        <f>INCIDENCIAS!$H184*INCIDENCIAS!$I184</f>
        <v>0</v>
      </c>
      <c r="K184" s="43"/>
      <c r="L184" s="43"/>
      <c r="M184" s="43"/>
      <c r="N184" s="43"/>
      <c r="O184" s="43"/>
    </row>
    <row r="185" spans="1:15" ht="15.75" customHeight="1" x14ac:dyDescent="0.25">
      <c r="A185" s="38"/>
      <c r="B185" s="62"/>
      <c r="C185" s="43"/>
      <c r="D185" s="43">
        <f>WEEKNUM(INCIDENCIAS!$C185)</f>
        <v>0</v>
      </c>
      <c r="E185" s="62"/>
      <c r="F185" s="62"/>
      <c r="G185" s="43"/>
      <c r="H185" s="43"/>
      <c r="I185" s="45"/>
      <c r="J185" s="45">
        <f>INCIDENCIAS!$H185*INCIDENCIAS!$I185</f>
        <v>0</v>
      </c>
      <c r="K185" s="43"/>
      <c r="L185" s="43"/>
      <c r="M185" s="43"/>
      <c r="N185" s="43"/>
      <c r="O185" s="43"/>
    </row>
    <row r="186" spans="1:15" ht="15.75" customHeight="1" x14ac:dyDescent="0.25">
      <c r="A186" s="38"/>
      <c r="B186" s="62"/>
      <c r="C186" s="43"/>
      <c r="D186" s="43">
        <f>WEEKNUM(INCIDENCIAS!$C186)</f>
        <v>0</v>
      </c>
      <c r="E186" s="62"/>
      <c r="F186" s="62"/>
      <c r="G186" s="43"/>
      <c r="H186" s="43"/>
      <c r="I186" s="45"/>
      <c r="J186" s="45">
        <f>INCIDENCIAS!$H186*INCIDENCIAS!$I186</f>
        <v>0</v>
      </c>
      <c r="K186" s="43"/>
      <c r="L186" s="43"/>
      <c r="M186" s="43"/>
      <c r="N186" s="43"/>
      <c r="O186" s="43"/>
    </row>
    <row r="187" spans="1:15" ht="15.75" customHeight="1" x14ac:dyDescent="0.25">
      <c r="A187" s="38"/>
      <c r="B187" s="62"/>
      <c r="C187" s="43"/>
      <c r="D187" s="43">
        <f>WEEKNUM(INCIDENCIAS!$C187)</f>
        <v>0</v>
      </c>
      <c r="E187" s="62"/>
      <c r="F187" s="62"/>
      <c r="G187" s="43"/>
      <c r="H187" s="43"/>
      <c r="I187" s="45"/>
      <c r="J187" s="45">
        <f>INCIDENCIAS!$H187*INCIDENCIAS!$I187</f>
        <v>0</v>
      </c>
      <c r="K187" s="43"/>
      <c r="L187" s="43"/>
      <c r="M187" s="43"/>
      <c r="N187" s="43"/>
      <c r="O187" s="43"/>
    </row>
    <row r="188" spans="1:15" ht="15.75" customHeight="1" x14ac:dyDescent="0.25">
      <c r="A188" s="38"/>
      <c r="B188" s="62"/>
      <c r="C188" s="43"/>
      <c r="D188" s="43">
        <f>WEEKNUM(INCIDENCIAS!$C188)</f>
        <v>0</v>
      </c>
      <c r="E188" s="62"/>
      <c r="F188" s="62"/>
      <c r="G188" s="43"/>
      <c r="H188" s="43"/>
      <c r="I188" s="45"/>
      <c r="J188" s="45">
        <f>INCIDENCIAS!$H188*INCIDENCIAS!$I188</f>
        <v>0</v>
      </c>
      <c r="K188" s="43"/>
      <c r="L188" s="43"/>
      <c r="M188" s="43"/>
      <c r="N188" s="43"/>
      <c r="O188" s="43"/>
    </row>
    <row r="189" spans="1:15" ht="15.75" customHeight="1" x14ac:dyDescent="0.25">
      <c r="A189" s="38"/>
      <c r="B189" s="62"/>
      <c r="C189" s="43"/>
      <c r="D189" s="43">
        <f>WEEKNUM(INCIDENCIAS!$C189)</f>
        <v>0</v>
      </c>
      <c r="E189" s="62"/>
      <c r="F189" s="62"/>
      <c r="G189" s="43"/>
      <c r="H189" s="43"/>
      <c r="I189" s="45"/>
      <c r="J189" s="45">
        <f>INCIDENCIAS!$H189*INCIDENCIAS!$I189</f>
        <v>0</v>
      </c>
      <c r="K189" s="43"/>
      <c r="L189" s="43"/>
      <c r="M189" s="43"/>
      <c r="N189" s="43"/>
      <c r="O189" s="43"/>
    </row>
    <row r="190" spans="1:15" ht="15.75" customHeight="1" x14ac:dyDescent="0.25">
      <c r="A190" s="38"/>
      <c r="B190" s="62"/>
      <c r="C190" s="43"/>
      <c r="D190" s="43">
        <f>WEEKNUM(INCIDENCIAS!$C190)</f>
        <v>0</v>
      </c>
      <c r="E190" s="62"/>
      <c r="F190" s="62"/>
      <c r="G190" s="43"/>
      <c r="H190" s="43"/>
      <c r="I190" s="45"/>
      <c r="J190" s="45">
        <f>INCIDENCIAS!$H190*INCIDENCIAS!$I190</f>
        <v>0</v>
      </c>
      <c r="K190" s="43"/>
      <c r="L190" s="43"/>
      <c r="M190" s="43"/>
      <c r="N190" s="43"/>
      <c r="O190" s="43"/>
    </row>
    <row r="191" spans="1:15" ht="15.75" customHeight="1" x14ac:dyDescent="0.25">
      <c r="A191" s="38"/>
      <c r="B191" s="62"/>
      <c r="C191" s="43"/>
      <c r="D191" s="43">
        <f>WEEKNUM(INCIDENCIAS!$C191)</f>
        <v>0</v>
      </c>
      <c r="E191" s="62"/>
      <c r="F191" s="62"/>
      <c r="G191" s="43"/>
      <c r="H191" s="43"/>
      <c r="I191" s="45"/>
      <c r="J191" s="45">
        <f>INCIDENCIAS!$H191*INCIDENCIAS!$I191</f>
        <v>0</v>
      </c>
      <c r="K191" s="43"/>
      <c r="L191" s="43"/>
      <c r="M191" s="43"/>
      <c r="N191" s="43"/>
      <c r="O191" s="43"/>
    </row>
    <row r="192" spans="1:15" ht="15.75" customHeight="1" x14ac:dyDescent="0.25">
      <c r="A192" s="38"/>
      <c r="B192" s="62"/>
      <c r="C192" s="43"/>
      <c r="D192" s="43">
        <f>WEEKNUM(INCIDENCIAS!$C192)</f>
        <v>0</v>
      </c>
      <c r="E192" s="62"/>
      <c r="F192" s="62"/>
      <c r="G192" s="43"/>
      <c r="H192" s="43"/>
      <c r="I192" s="45"/>
      <c r="J192" s="45">
        <f>INCIDENCIAS!$H192*INCIDENCIAS!$I192</f>
        <v>0</v>
      </c>
      <c r="K192" s="43"/>
      <c r="L192" s="43"/>
      <c r="M192" s="43"/>
      <c r="N192" s="43"/>
      <c r="O192" s="43"/>
    </row>
    <row r="193" spans="1:15" ht="15.75" customHeight="1" x14ac:dyDescent="0.25">
      <c r="A193" s="38"/>
      <c r="B193" s="62"/>
      <c r="C193" s="43"/>
      <c r="D193" s="43">
        <f>WEEKNUM(INCIDENCIAS!$C193)</f>
        <v>0</v>
      </c>
      <c r="E193" s="62"/>
      <c r="F193" s="62"/>
      <c r="G193" s="43"/>
      <c r="H193" s="43"/>
      <c r="I193" s="45"/>
      <c r="J193" s="45">
        <f>INCIDENCIAS!$H193*INCIDENCIAS!$I193</f>
        <v>0</v>
      </c>
      <c r="K193" s="43"/>
      <c r="L193" s="43"/>
      <c r="M193" s="43"/>
      <c r="N193" s="43"/>
      <c r="O193" s="43"/>
    </row>
    <row r="194" spans="1:15" ht="15.75" customHeight="1" x14ac:dyDescent="0.25">
      <c r="A194" s="38"/>
      <c r="B194" s="62"/>
      <c r="C194" s="43"/>
      <c r="D194" s="43">
        <f>WEEKNUM(INCIDENCIAS!$C194)</f>
        <v>0</v>
      </c>
      <c r="E194" s="62"/>
      <c r="F194" s="62"/>
      <c r="G194" s="43"/>
      <c r="H194" s="43"/>
      <c r="I194" s="45"/>
      <c r="J194" s="45">
        <f>INCIDENCIAS!$H194*INCIDENCIAS!$I194</f>
        <v>0</v>
      </c>
      <c r="K194" s="43"/>
      <c r="L194" s="43"/>
      <c r="M194" s="43"/>
      <c r="N194" s="43"/>
      <c r="O194" s="43"/>
    </row>
    <row r="195" spans="1:15" ht="15.75" customHeight="1" x14ac:dyDescent="0.25">
      <c r="A195" s="38"/>
      <c r="B195" s="62"/>
      <c r="C195" s="43"/>
      <c r="D195" s="43">
        <f>WEEKNUM(INCIDENCIAS!$C195)</f>
        <v>0</v>
      </c>
      <c r="E195" s="62"/>
      <c r="F195" s="62"/>
      <c r="G195" s="43"/>
      <c r="H195" s="43"/>
      <c r="I195" s="45"/>
      <c r="J195" s="45">
        <f>INCIDENCIAS!$H195*INCIDENCIAS!$I195</f>
        <v>0</v>
      </c>
      <c r="K195" s="43"/>
      <c r="L195" s="43"/>
      <c r="M195" s="43"/>
      <c r="N195" s="43"/>
      <c r="O195" s="43"/>
    </row>
    <row r="196" spans="1:15" ht="15.75" customHeight="1" x14ac:dyDescent="0.25">
      <c r="A196" s="38"/>
      <c r="B196" s="62"/>
      <c r="C196" s="43"/>
      <c r="D196" s="43">
        <f>WEEKNUM(INCIDENCIAS!$C196)</f>
        <v>0</v>
      </c>
      <c r="E196" s="62"/>
      <c r="F196" s="62"/>
      <c r="G196" s="43"/>
      <c r="H196" s="43"/>
      <c r="I196" s="45"/>
      <c r="J196" s="45">
        <f>INCIDENCIAS!$H196*INCIDENCIAS!$I196</f>
        <v>0</v>
      </c>
      <c r="K196" s="43"/>
      <c r="L196" s="43"/>
      <c r="M196" s="43"/>
      <c r="N196" s="43"/>
      <c r="O196" s="43"/>
    </row>
    <row r="197" spans="1:15" ht="15.75" customHeight="1" x14ac:dyDescent="0.25">
      <c r="A197" s="38"/>
      <c r="B197" s="62"/>
      <c r="C197" s="43"/>
      <c r="D197" s="43">
        <f>WEEKNUM(INCIDENCIAS!$C197)</f>
        <v>0</v>
      </c>
      <c r="E197" s="62"/>
      <c r="F197" s="62"/>
      <c r="G197" s="43"/>
      <c r="H197" s="43"/>
      <c r="I197" s="45"/>
      <c r="J197" s="45">
        <f>INCIDENCIAS!$H197*INCIDENCIAS!$I197</f>
        <v>0</v>
      </c>
      <c r="K197" s="43"/>
      <c r="L197" s="43"/>
      <c r="M197" s="43"/>
      <c r="N197" s="43"/>
      <c r="O197" s="43"/>
    </row>
    <row r="198" spans="1:15" ht="15.75" customHeight="1" x14ac:dyDescent="0.25">
      <c r="A198" s="38"/>
      <c r="B198" s="62"/>
      <c r="C198" s="43"/>
      <c r="D198" s="43">
        <f>WEEKNUM(INCIDENCIAS!$C198)</f>
        <v>0</v>
      </c>
      <c r="E198" s="62"/>
      <c r="F198" s="62"/>
      <c r="G198" s="43"/>
      <c r="H198" s="43"/>
      <c r="I198" s="45"/>
      <c r="J198" s="45">
        <f>INCIDENCIAS!$H198*INCIDENCIAS!$I198</f>
        <v>0</v>
      </c>
      <c r="K198" s="43"/>
      <c r="L198" s="43"/>
      <c r="M198" s="43"/>
      <c r="N198" s="43"/>
      <c r="O198" s="43"/>
    </row>
    <row r="199" spans="1:15" ht="15.75" customHeight="1" x14ac:dyDescent="0.25">
      <c r="A199" s="38"/>
      <c r="B199" s="62"/>
      <c r="C199" s="43"/>
      <c r="D199" s="43">
        <f>WEEKNUM(INCIDENCIAS!$C199)</f>
        <v>0</v>
      </c>
      <c r="E199" s="62"/>
      <c r="F199" s="62"/>
      <c r="G199" s="43"/>
      <c r="H199" s="43"/>
      <c r="I199" s="45"/>
      <c r="J199" s="45">
        <f>INCIDENCIAS!$H199*INCIDENCIAS!$I199</f>
        <v>0</v>
      </c>
      <c r="K199" s="43"/>
      <c r="L199" s="43"/>
      <c r="M199" s="43"/>
      <c r="N199" s="43"/>
      <c r="O199" s="43"/>
    </row>
    <row r="200" spans="1:15" ht="15.75" customHeight="1" x14ac:dyDescent="0.25">
      <c r="A200" s="38"/>
      <c r="B200" s="62"/>
      <c r="C200" s="43"/>
      <c r="D200" s="43">
        <f>WEEKNUM(INCIDENCIAS!$C200)</f>
        <v>0</v>
      </c>
      <c r="E200" s="62"/>
      <c r="F200" s="62"/>
      <c r="G200" s="43"/>
      <c r="H200" s="43"/>
      <c r="I200" s="45"/>
      <c r="J200" s="45">
        <f>INCIDENCIAS!$H200*INCIDENCIAS!$I200</f>
        <v>0</v>
      </c>
      <c r="K200" s="43"/>
      <c r="L200" s="43"/>
      <c r="M200" s="43"/>
      <c r="N200" s="43"/>
      <c r="O200" s="43"/>
    </row>
    <row r="201" spans="1:15" ht="15.75" customHeight="1" x14ac:dyDescent="0.25">
      <c r="A201" s="38"/>
      <c r="B201" s="62"/>
      <c r="C201" s="43"/>
      <c r="D201" s="43">
        <f>WEEKNUM(INCIDENCIAS!$C201)</f>
        <v>0</v>
      </c>
      <c r="E201" s="62"/>
      <c r="F201" s="62"/>
      <c r="G201" s="43"/>
      <c r="H201" s="43"/>
      <c r="I201" s="45"/>
      <c r="J201" s="45">
        <f>INCIDENCIAS!$H201*INCIDENCIAS!$I201</f>
        <v>0</v>
      </c>
      <c r="K201" s="43"/>
      <c r="L201" s="43"/>
      <c r="M201" s="43"/>
      <c r="N201" s="43"/>
      <c r="O201" s="43"/>
    </row>
    <row r="202" spans="1:15" ht="15.75" customHeight="1" x14ac:dyDescent="0.25">
      <c r="A202" s="38"/>
      <c r="B202" s="62"/>
      <c r="C202" s="43"/>
      <c r="D202" s="43">
        <f>WEEKNUM(INCIDENCIAS!$C202)</f>
        <v>0</v>
      </c>
      <c r="E202" s="62"/>
      <c r="F202" s="62"/>
      <c r="G202" s="43"/>
      <c r="H202" s="43"/>
      <c r="I202" s="45"/>
      <c r="J202" s="45">
        <f>INCIDENCIAS!$H202*INCIDENCIAS!$I202</f>
        <v>0</v>
      </c>
      <c r="K202" s="43"/>
      <c r="L202" s="43"/>
      <c r="M202" s="43"/>
      <c r="N202" s="43"/>
      <c r="O202" s="43"/>
    </row>
    <row r="203" spans="1:15" ht="15.75" customHeight="1" x14ac:dyDescent="0.25">
      <c r="A203" s="38"/>
      <c r="B203" s="62"/>
      <c r="C203" s="43"/>
      <c r="D203" s="43">
        <f>WEEKNUM(INCIDENCIAS!$C203)</f>
        <v>0</v>
      </c>
      <c r="E203" s="62"/>
      <c r="F203" s="62"/>
      <c r="G203" s="43"/>
      <c r="H203" s="43"/>
      <c r="I203" s="45"/>
      <c r="J203" s="45">
        <f>INCIDENCIAS!$H203*INCIDENCIAS!$I203</f>
        <v>0</v>
      </c>
      <c r="K203" s="43"/>
      <c r="L203" s="43"/>
      <c r="M203" s="43"/>
      <c r="N203" s="43"/>
      <c r="O203" s="43"/>
    </row>
    <row r="204" spans="1:15" ht="15.75" customHeight="1" x14ac:dyDescent="0.25">
      <c r="A204" s="38"/>
      <c r="B204" s="62"/>
      <c r="C204" s="43"/>
      <c r="D204" s="43">
        <f>WEEKNUM(INCIDENCIAS!$C204)</f>
        <v>0</v>
      </c>
      <c r="E204" s="62"/>
      <c r="F204" s="62"/>
      <c r="G204" s="43"/>
      <c r="H204" s="43"/>
      <c r="I204" s="45"/>
      <c r="J204" s="45">
        <f>INCIDENCIAS!$H204*INCIDENCIAS!$I204</f>
        <v>0</v>
      </c>
      <c r="K204" s="43"/>
      <c r="L204" s="43"/>
      <c r="M204" s="43"/>
      <c r="N204" s="43"/>
      <c r="O204" s="43"/>
    </row>
    <row r="205" spans="1:15" ht="15.75" customHeight="1" x14ac:dyDescent="0.25">
      <c r="A205" s="38"/>
      <c r="B205" s="62"/>
      <c r="C205" s="43"/>
      <c r="D205" s="43">
        <f>WEEKNUM(INCIDENCIAS!$C205)</f>
        <v>0</v>
      </c>
      <c r="E205" s="62"/>
      <c r="F205" s="62"/>
      <c r="G205" s="43"/>
      <c r="H205" s="43"/>
      <c r="I205" s="45"/>
      <c r="J205" s="45">
        <f>INCIDENCIAS!$H205*INCIDENCIAS!$I205</f>
        <v>0</v>
      </c>
      <c r="K205" s="43"/>
      <c r="L205" s="43"/>
      <c r="M205" s="43"/>
      <c r="N205" s="43"/>
      <c r="O205" s="43"/>
    </row>
    <row r="206" spans="1:15" ht="15.75" customHeight="1" x14ac:dyDescent="0.25">
      <c r="A206" s="38"/>
      <c r="B206" s="62"/>
      <c r="C206" s="43"/>
      <c r="D206" s="43">
        <f>WEEKNUM(INCIDENCIAS!$C206)</f>
        <v>0</v>
      </c>
      <c r="E206" s="62"/>
      <c r="F206" s="62"/>
      <c r="G206" s="43"/>
      <c r="H206" s="43"/>
      <c r="I206" s="45"/>
      <c r="J206" s="45">
        <f>INCIDENCIAS!$H206*INCIDENCIAS!$I206</f>
        <v>0</v>
      </c>
      <c r="K206" s="43"/>
      <c r="L206" s="43"/>
      <c r="M206" s="43"/>
      <c r="N206" s="43"/>
      <c r="O206" s="43"/>
    </row>
    <row r="207" spans="1:15" ht="15.75" customHeight="1" x14ac:dyDescent="0.25">
      <c r="A207" s="38"/>
      <c r="B207" s="62"/>
      <c r="C207" s="43"/>
      <c r="D207" s="43">
        <f>WEEKNUM(INCIDENCIAS!$C207)</f>
        <v>0</v>
      </c>
      <c r="E207" s="62"/>
      <c r="F207" s="62"/>
      <c r="G207" s="43"/>
      <c r="H207" s="43"/>
      <c r="I207" s="45"/>
      <c r="J207" s="45">
        <f>INCIDENCIAS!$H207*INCIDENCIAS!$I207</f>
        <v>0</v>
      </c>
      <c r="K207" s="43"/>
      <c r="L207" s="43"/>
      <c r="M207" s="43"/>
      <c r="N207" s="43"/>
      <c r="O207" s="43"/>
    </row>
    <row r="208" spans="1:15" ht="15.75" customHeight="1" x14ac:dyDescent="0.25">
      <c r="A208" s="38"/>
      <c r="B208" s="62"/>
      <c r="C208" s="43"/>
      <c r="D208" s="43">
        <f>WEEKNUM(INCIDENCIAS!$C208)</f>
        <v>0</v>
      </c>
      <c r="E208" s="62"/>
      <c r="F208" s="62"/>
      <c r="G208" s="43"/>
      <c r="H208" s="43"/>
      <c r="I208" s="45"/>
      <c r="J208" s="45">
        <f>INCIDENCIAS!$H208*INCIDENCIAS!$I208</f>
        <v>0</v>
      </c>
      <c r="K208" s="43"/>
      <c r="L208" s="43"/>
      <c r="M208" s="43"/>
      <c r="N208" s="43"/>
      <c r="O208" s="43"/>
    </row>
    <row r="209" spans="1:15" ht="15.75" customHeight="1" x14ac:dyDescent="0.25">
      <c r="A209" s="38"/>
      <c r="B209" s="62"/>
      <c r="C209" s="43"/>
      <c r="D209" s="43">
        <f>WEEKNUM(INCIDENCIAS!$C209)</f>
        <v>0</v>
      </c>
      <c r="E209" s="62"/>
      <c r="F209" s="62"/>
      <c r="G209" s="43"/>
      <c r="H209" s="43"/>
      <c r="I209" s="45"/>
      <c r="J209" s="45">
        <f>INCIDENCIAS!$H209*INCIDENCIAS!$I209</f>
        <v>0</v>
      </c>
      <c r="K209" s="43"/>
      <c r="L209" s="43"/>
      <c r="M209" s="43"/>
      <c r="N209" s="43"/>
      <c r="O209" s="43"/>
    </row>
    <row r="210" spans="1:15" ht="15.75" customHeight="1" x14ac:dyDescent="0.25">
      <c r="A210" s="38"/>
      <c r="B210" s="62"/>
      <c r="C210" s="43"/>
      <c r="D210" s="43">
        <f>WEEKNUM(INCIDENCIAS!$C210)</f>
        <v>0</v>
      </c>
      <c r="E210" s="62"/>
      <c r="F210" s="62"/>
      <c r="G210" s="43"/>
      <c r="H210" s="43"/>
      <c r="I210" s="45"/>
      <c r="J210" s="45">
        <f>INCIDENCIAS!$H210*INCIDENCIAS!$I210</f>
        <v>0</v>
      </c>
      <c r="K210" s="43"/>
      <c r="L210" s="43"/>
      <c r="M210" s="43"/>
      <c r="N210" s="43"/>
      <c r="O210" s="43"/>
    </row>
    <row r="211" spans="1:15" ht="15.75" customHeight="1" x14ac:dyDescent="0.25">
      <c r="A211" s="38"/>
      <c r="B211" s="62"/>
      <c r="C211" s="43"/>
      <c r="D211" s="43">
        <f>WEEKNUM(INCIDENCIAS!$C211)</f>
        <v>0</v>
      </c>
      <c r="E211" s="62"/>
      <c r="F211" s="62"/>
      <c r="G211" s="43"/>
      <c r="H211" s="43"/>
      <c r="I211" s="45"/>
      <c r="J211" s="45">
        <f>INCIDENCIAS!$H211*INCIDENCIAS!$I211</f>
        <v>0</v>
      </c>
      <c r="K211" s="43"/>
      <c r="L211" s="43"/>
      <c r="M211" s="43"/>
      <c r="N211" s="43"/>
      <c r="O211" s="43"/>
    </row>
    <row r="212" spans="1:15" ht="15.75" customHeight="1" x14ac:dyDescent="0.25">
      <c r="A212" s="38"/>
      <c r="B212" s="62"/>
      <c r="C212" s="43"/>
      <c r="D212" s="43">
        <f>WEEKNUM(INCIDENCIAS!$C212)</f>
        <v>0</v>
      </c>
      <c r="E212" s="62"/>
      <c r="F212" s="62"/>
      <c r="G212" s="43"/>
      <c r="H212" s="43"/>
      <c r="I212" s="45"/>
      <c r="J212" s="45">
        <f>INCIDENCIAS!$H212*INCIDENCIAS!$I212</f>
        <v>0</v>
      </c>
      <c r="K212" s="43"/>
      <c r="L212" s="43"/>
      <c r="M212" s="43"/>
      <c r="N212" s="43"/>
      <c r="O212" s="43"/>
    </row>
    <row r="213" spans="1:15" ht="15.75" customHeight="1" x14ac:dyDescent="0.25">
      <c r="A213" s="38"/>
      <c r="B213" s="62"/>
      <c r="C213" s="43"/>
      <c r="D213" s="43">
        <f>WEEKNUM(INCIDENCIAS!$C213)</f>
        <v>0</v>
      </c>
      <c r="E213" s="62"/>
      <c r="F213" s="62"/>
      <c r="G213" s="43"/>
      <c r="H213" s="43"/>
      <c r="I213" s="45"/>
      <c r="J213" s="45">
        <f>INCIDENCIAS!$H213*INCIDENCIAS!$I213</f>
        <v>0</v>
      </c>
      <c r="K213" s="43"/>
      <c r="L213" s="43"/>
      <c r="M213" s="43"/>
      <c r="N213" s="43"/>
      <c r="O213" s="43"/>
    </row>
    <row r="214" spans="1:15" ht="15.75" customHeight="1" x14ac:dyDescent="0.25">
      <c r="A214" s="38"/>
      <c r="B214" s="62"/>
      <c r="C214" s="43"/>
      <c r="D214" s="43">
        <f>WEEKNUM(INCIDENCIAS!$C214)</f>
        <v>0</v>
      </c>
      <c r="E214" s="62"/>
      <c r="F214" s="62"/>
      <c r="G214" s="43"/>
      <c r="H214" s="43"/>
      <c r="I214" s="45"/>
      <c r="J214" s="45">
        <f>INCIDENCIAS!$H214*INCIDENCIAS!$I214</f>
        <v>0</v>
      </c>
      <c r="K214" s="43"/>
      <c r="L214" s="43"/>
      <c r="M214" s="43"/>
      <c r="N214" s="43"/>
      <c r="O214" s="43"/>
    </row>
    <row r="215" spans="1:15" ht="15.75" customHeight="1" x14ac:dyDescent="0.25">
      <c r="A215" s="38"/>
      <c r="B215" s="62"/>
      <c r="C215" s="43"/>
      <c r="D215" s="43">
        <f>WEEKNUM(INCIDENCIAS!$C215)</f>
        <v>0</v>
      </c>
      <c r="E215" s="62"/>
      <c r="F215" s="62"/>
      <c r="G215" s="43"/>
      <c r="H215" s="43"/>
      <c r="I215" s="45"/>
      <c r="J215" s="45">
        <f>INCIDENCIAS!$H215*INCIDENCIAS!$I215</f>
        <v>0</v>
      </c>
      <c r="K215" s="43"/>
      <c r="L215" s="43"/>
      <c r="M215" s="43"/>
      <c r="N215" s="43"/>
      <c r="O215" s="43"/>
    </row>
    <row r="216" spans="1:15" ht="15.75" customHeight="1" x14ac:dyDescent="0.25">
      <c r="A216" s="38"/>
      <c r="B216" s="62"/>
      <c r="C216" s="43"/>
      <c r="D216" s="43">
        <f>WEEKNUM(INCIDENCIAS!$C216)</f>
        <v>0</v>
      </c>
      <c r="E216" s="62"/>
      <c r="F216" s="62"/>
      <c r="G216" s="43"/>
      <c r="H216" s="43"/>
      <c r="I216" s="45"/>
      <c r="J216" s="45">
        <f>INCIDENCIAS!$H216*INCIDENCIAS!$I216</f>
        <v>0</v>
      </c>
      <c r="K216" s="43"/>
      <c r="L216" s="43"/>
      <c r="M216" s="43"/>
      <c r="N216" s="43"/>
      <c r="O216" s="43"/>
    </row>
    <row r="217" spans="1:15" ht="15.75" customHeight="1" x14ac:dyDescent="0.25">
      <c r="A217" s="38"/>
      <c r="B217" s="62"/>
      <c r="C217" s="43"/>
      <c r="D217" s="43">
        <f>WEEKNUM(INCIDENCIAS!$C217)</f>
        <v>0</v>
      </c>
      <c r="E217" s="62"/>
      <c r="F217" s="62"/>
      <c r="G217" s="43"/>
      <c r="H217" s="43"/>
      <c r="I217" s="45"/>
      <c r="J217" s="45">
        <f>INCIDENCIAS!$H217*INCIDENCIAS!$I217</f>
        <v>0</v>
      </c>
      <c r="K217" s="43"/>
      <c r="L217" s="43"/>
      <c r="M217" s="43"/>
      <c r="N217" s="43"/>
      <c r="O217" s="43"/>
    </row>
    <row r="218" spans="1:15" ht="15.75" customHeight="1" x14ac:dyDescent="0.25">
      <c r="A218" s="38"/>
      <c r="B218" s="62"/>
      <c r="C218" s="43"/>
      <c r="D218" s="43">
        <f>WEEKNUM(INCIDENCIAS!$C218)</f>
        <v>0</v>
      </c>
      <c r="E218" s="62"/>
      <c r="F218" s="62"/>
      <c r="G218" s="43"/>
      <c r="H218" s="43"/>
      <c r="I218" s="45"/>
      <c r="J218" s="45">
        <f>INCIDENCIAS!$H218*INCIDENCIAS!$I218</f>
        <v>0</v>
      </c>
      <c r="K218" s="43"/>
      <c r="L218" s="43"/>
      <c r="M218" s="43"/>
      <c r="N218" s="43"/>
      <c r="O218" s="43"/>
    </row>
    <row r="219" spans="1:15" ht="15.75" customHeight="1" x14ac:dyDescent="0.25">
      <c r="A219" s="38"/>
      <c r="B219" s="62"/>
      <c r="C219" s="43"/>
      <c r="D219" s="43">
        <f>WEEKNUM(INCIDENCIAS!$C219)</f>
        <v>0</v>
      </c>
      <c r="E219" s="62"/>
      <c r="F219" s="62"/>
      <c r="G219" s="43"/>
      <c r="H219" s="43"/>
      <c r="I219" s="45"/>
      <c r="J219" s="45">
        <f>INCIDENCIAS!$H219*INCIDENCIAS!$I219</f>
        <v>0</v>
      </c>
      <c r="K219" s="43"/>
      <c r="L219" s="43"/>
      <c r="M219" s="43"/>
      <c r="N219" s="43"/>
      <c r="O219" s="43"/>
    </row>
    <row r="220" spans="1:15" ht="15.75" customHeight="1" x14ac:dyDescent="0.25">
      <c r="A220" s="38"/>
      <c r="B220" s="62"/>
      <c r="C220" s="43"/>
      <c r="D220" s="43">
        <f>WEEKNUM(INCIDENCIAS!$C220)</f>
        <v>0</v>
      </c>
      <c r="E220" s="62"/>
      <c r="F220" s="62"/>
      <c r="G220" s="43"/>
      <c r="H220" s="43"/>
      <c r="I220" s="45"/>
      <c r="J220" s="45">
        <f>INCIDENCIAS!$H220*INCIDENCIAS!$I220</f>
        <v>0</v>
      </c>
      <c r="K220" s="43"/>
      <c r="L220" s="43"/>
      <c r="M220" s="43"/>
      <c r="N220" s="43"/>
      <c r="O220" s="43"/>
    </row>
    <row r="221" spans="1:15" ht="15.75" customHeight="1" x14ac:dyDescent="0.25">
      <c r="A221" s="38"/>
      <c r="B221" s="62"/>
      <c r="C221" s="43"/>
      <c r="D221" s="43">
        <f>WEEKNUM(INCIDENCIAS!$C221)</f>
        <v>0</v>
      </c>
      <c r="E221" s="62"/>
      <c r="F221" s="62"/>
      <c r="G221" s="43"/>
      <c r="H221" s="43"/>
      <c r="I221" s="45"/>
      <c r="J221" s="45">
        <f>INCIDENCIAS!$H221*INCIDENCIAS!$I221</f>
        <v>0</v>
      </c>
      <c r="K221" s="43"/>
      <c r="L221" s="43"/>
      <c r="M221" s="43"/>
      <c r="N221" s="43"/>
      <c r="O221" s="43"/>
    </row>
    <row r="222" spans="1:15" ht="15.75" customHeight="1" x14ac:dyDescent="0.25">
      <c r="A222" s="38"/>
      <c r="B222" s="62"/>
      <c r="C222" s="43"/>
      <c r="D222" s="43">
        <f>WEEKNUM(INCIDENCIAS!$C222)</f>
        <v>0</v>
      </c>
      <c r="E222" s="62"/>
      <c r="F222" s="62"/>
      <c r="G222" s="43"/>
      <c r="H222" s="43"/>
      <c r="I222" s="45"/>
      <c r="J222" s="45">
        <f>INCIDENCIAS!$H222*INCIDENCIAS!$I222</f>
        <v>0</v>
      </c>
      <c r="K222" s="43"/>
      <c r="L222" s="43"/>
      <c r="M222" s="43"/>
      <c r="N222" s="43"/>
      <c r="O222" s="43"/>
    </row>
    <row r="223" spans="1:15" ht="15.75" customHeight="1" x14ac:dyDescent="0.25">
      <c r="A223" s="38"/>
      <c r="B223" s="62"/>
      <c r="C223" s="43"/>
      <c r="D223" s="43">
        <f>WEEKNUM(INCIDENCIAS!$C223)</f>
        <v>0</v>
      </c>
      <c r="E223" s="62"/>
      <c r="F223" s="62"/>
      <c r="G223" s="43"/>
      <c r="H223" s="43"/>
      <c r="I223" s="45"/>
      <c r="J223" s="45">
        <f>INCIDENCIAS!$H223*INCIDENCIAS!$I223</f>
        <v>0</v>
      </c>
      <c r="K223" s="43"/>
      <c r="L223" s="43"/>
      <c r="M223" s="43"/>
      <c r="N223" s="43"/>
      <c r="O223" s="43"/>
    </row>
    <row r="224" spans="1:15" ht="15.75" customHeight="1" x14ac:dyDescent="0.25">
      <c r="A224" s="38"/>
      <c r="B224" s="62"/>
      <c r="C224" s="43"/>
      <c r="D224" s="43">
        <f>WEEKNUM(INCIDENCIAS!$C224)</f>
        <v>0</v>
      </c>
      <c r="E224" s="62"/>
      <c r="F224" s="62"/>
      <c r="G224" s="43"/>
      <c r="H224" s="43"/>
      <c r="I224" s="45"/>
      <c r="J224" s="45">
        <f>INCIDENCIAS!$H224*INCIDENCIAS!$I224</f>
        <v>0</v>
      </c>
      <c r="K224" s="43"/>
      <c r="L224" s="43"/>
      <c r="M224" s="43"/>
      <c r="N224" s="43"/>
      <c r="O224" s="43"/>
    </row>
    <row r="225" spans="1:15" ht="15.75" customHeight="1" x14ac:dyDescent="0.25">
      <c r="A225" s="38"/>
      <c r="B225" s="62"/>
      <c r="C225" s="43"/>
      <c r="D225" s="43">
        <f>WEEKNUM(INCIDENCIAS!$C225)</f>
        <v>0</v>
      </c>
      <c r="E225" s="62"/>
      <c r="F225" s="62"/>
      <c r="G225" s="43"/>
      <c r="H225" s="43"/>
      <c r="I225" s="45"/>
      <c r="J225" s="45">
        <f>INCIDENCIAS!$H225*INCIDENCIAS!$I225</f>
        <v>0</v>
      </c>
      <c r="K225" s="43"/>
      <c r="L225" s="43"/>
      <c r="M225" s="43"/>
      <c r="N225" s="43"/>
      <c r="O225" s="43"/>
    </row>
    <row r="226" spans="1:15" ht="15.75" customHeight="1" x14ac:dyDescent="0.25">
      <c r="A226" s="38"/>
      <c r="B226" s="62"/>
      <c r="C226" s="43"/>
      <c r="D226" s="43">
        <f>WEEKNUM(INCIDENCIAS!$C226)</f>
        <v>0</v>
      </c>
      <c r="E226" s="62"/>
      <c r="F226" s="62"/>
      <c r="G226" s="43"/>
      <c r="H226" s="43"/>
      <c r="I226" s="45"/>
      <c r="J226" s="45">
        <f>INCIDENCIAS!$H226*INCIDENCIAS!$I226</f>
        <v>0</v>
      </c>
      <c r="K226" s="43"/>
      <c r="L226" s="43"/>
      <c r="M226" s="43"/>
      <c r="N226" s="43"/>
      <c r="O226" s="43"/>
    </row>
    <row r="227" spans="1:15" ht="15.75" customHeight="1" x14ac:dyDescent="0.25">
      <c r="A227" s="38"/>
      <c r="B227" s="62"/>
      <c r="C227" s="43"/>
      <c r="D227" s="43">
        <f>WEEKNUM(INCIDENCIAS!$C227)</f>
        <v>0</v>
      </c>
      <c r="E227" s="62"/>
      <c r="F227" s="62"/>
      <c r="G227" s="43"/>
      <c r="H227" s="43"/>
      <c r="I227" s="45"/>
      <c r="J227" s="45">
        <f>INCIDENCIAS!$H227*INCIDENCIAS!$I227</f>
        <v>0</v>
      </c>
      <c r="K227" s="43"/>
      <c r="L227" s="43"/>
      <c r="M227" s="43"/>
      <c r="N227" s="43"/>
      <c r="O227" s="43"/>
    </row>
    <row r="228" spans="1:15" ht="15.75" customHeight="1" x14ac:dyDescent="0.25">
      <c r="A228" s="38"/>
      <c r="B228" s="62"/>
      <c r="C228" s="43"/>
      <c r="D228" s="43">
        <f>WEEKNUM(INCIDENCIAS!$C228)</f>
        <v>0</v>
      </c>
      <c r="E228" s="62"/>
      <c r="F228" s="62"/>
      <c r="G228" s="43"/>
      <c r="H228" s="43"/>
      <c r="I228" s="45"/>
      <c r="J228" s="45">
        <f>INCIDENCIAS!$H228*INCIDENCIAS!$I228</f>
        <v>0</v>
      </c>
      <c r="K228" s="43"/>
      <c r="L228" s="43"/>
      <c r="M228" s="43"/>
      <c r="N228" s="43"/>
      <c r="O228" s="43"/>
    </row>
    <row r="229" spans="1:15" ht="15.75" customHeight="1" x14ac:dyDescent="0.25">
      <c r="A229" s="38"/>
      <c r="B229" s="62"/>
      <c r="C229" s="43"/>
      <c r="D229" s="43">
        <f>WEEKNUM(INCIDENCIAS!$C229)</f>
        <v>0</v>
      </c>
      <c r="E229" s="62"/>
      <c r="F229" s="62"/>
      <c r="G229" s="43"/>
      <c r="H229" s="43"/>
      <c r="I229" s="45"/>
      <c r="J229" s="45">
        <f>INCIDENCIAS!$H229*INCIDENCIAS!$I229</f>
        <v>0</v>
      </c>
      <c r="K229" s="43"/>
      <c r="L229" s="43"/>
      <c r="M229" s="43"/>
      <c r="N229" s="43"/>
      <c r="O229" s="43"/>
    </row>
    <row r="230" spans="1:15" ht="15.75" customHeight="1" x14ac:dyDescent="0.25">
      <c r="A230" s="38"/>
      <c r="B230" s="62"/>
      <c r="C230" s="43"/>
      <c r="D230" s="43">
        <f>WEEKNUM(INCIDENCIAS!$C230)</f>
        <v>0</v>
      </c>
      <c r="E230" s="62"/>
      <c r="F230" s="62"/>
      <c r="G230" s="43"/>
      <c r="H230" s="43"/>
      <c r="I230" s="45"/>
      <c r="J230" s="45">
        <f>INCIDENCIAS!$H230*INCIDENCIAS!$I230</f>
        <v>0</v>
      </c>
      <c r="K230" s="43"/>
      <c r="L230" s="43"/>
      <c r="M230" s="43"/>
      <c r="N230" s="43"/>
      <c r="O230" s="43"/>
    </row>
    <row r="231" spans="1:15" ht="15.75" customHeight="1" x14ac:dyDescent="0.25">
      <c r="A231" s="38"/>
      <c r="B231" s="62"/>
      <c r="C231" s="43"/>
      <c r="D231" s="43">
        <f>WEEKNUM(INCIDENCIAS!$C231)</f>
        <v>0</v>
      </c>
      <c r="E231" s="62"/>
      <c r="F231" s="62"/>
      <c r="G231" s="43"/>
      <c r="H231" s="43"/>
      <c r="I231" s="45"/>
      <c r="J231" s="45">
        <f>INCIDENCIAS!$H231*INCIDENCIAS!$I231</f>
        <v>0</v>
      </c>
      <c r="K231" s="43"/>
      <c r="L231" s="43"/>
      <c r="M231" s="43"/>
      <c r="N231" s="43"/>
      <c r="O231" s="43"/>
    </row>
    <row r="232" spans="1:15" ht="15.75" customHeight="1" x14ac:dyDescent="0.25">
      <c r="A232" s="38"/>
      <c r="B232" s="62"/>
      <c r="C232" s="43"/>
      <c r="D232" s="43">
        <f>WEEKNUM(INCIDENCIAS!$C232)</f>
        <v>0</v>
      </c>
      <c r="E232" s="62"/>
      <c r="F232" s="62"/>
      <c r="G232" s="43"/>
      <c r="H232" s="43"/>
      <c r="I232" s="45"/>
      <c r="J232" s="45">
        <f>INCIDENCIAS!$H232*INCIDENCIAS!$I232</f>
        <v>0</v>
      </c>
      <c r="K232" s="43"/>
      <c r="L232" s="43"/>
      <c r="M232" s="43"/>
      <c r="N232" s="43"/>
      <c r="O232" s="43"/>
    </row>
    <row r="233" spans="1:15" ht="15.75" customHeight="1" x14ac:dyDescent="0.25">
      <c r="A233" s="38"/>
      <c r="B233" s="62"/>
      <c r="C233" s="43"/>
      <c r="D233" s="43">
        <f>WEEKNUM(INCIDENCIAS!$C233)</f>
        <v>0</v>
      </c>
      <c r="E233" s="62"/>
      <c r="F233" s="62"/>
      <c r="G233" s="43"/>
      <c r="H233" s="43"/>
      <c r="I233" s="45"/>
      <c r="J233" s="45">
        <f>INCIDENCIAS!$H233*INCIDENCIAS!$I233</f>
        <v>0</v>
      </c>
      <c r="K233" s="43"/>
      <c r="L233" s="43"/>
      <c r="M233" s="43"/>
      <c r="N233" s="43"/>
      <c r="O233" s="43"/>
    </row>
    <row r="234" spans="1:15" ht="15.75" customHeight="1" x14ac:dyDescent="0.25">
      <c r="A234" s="38"/>
      <c r="B234" s="62"/>
      <c r="C234" s="43"/>
      <c r="D234" s="43">
        <f>WEEKNUM(INCIDENCIAS!$C234)</f>
        <v>0</v>
      </c>
      <c r="E234" s="62"/>
      <c r="F234" s="62"/>
      <c r="G234" s="43"/>
      <c r="H234" s="43"/>
      <c r="I234" s="45"/>
      <c r="J234" s="45">
        <f>INCIDENCIAS!$H234*INCIDENCIAS!$I234</f>
        <v>0</v>
      </c>
      <c r="K234" s="43"/>
      <c r="L234" s="43"/>
      <c r="M234" s="43"/>
      <c r="N234" s="43"/>
      <c r="O234" s="43"/>
    </row>
    <row r="235" spans="1:15" ht="15.75" customHeight="1" x14ac:dyDescent="0.25">
      <c r="A235" s="38"/>
      <c r="B235" s="62"/>
      <c r="C235" s="43"/>
      <c r="D235" s="43">
        <f>WEEKNUM(INCIDENCIAS!$C235)</f>
        <v>0</v>
      </c>
      <c r="E235" s="62"/>
      <c r="F235" s="62"/>
      <c r="G235" s="43"/>
      <c r="H235" s="43"/>
      <c r="I235" s="45"/>
      <c r="J235" s="45">
        <f>INCIDENCIAS!$H235*INCIDENCIAS!$I235</f>
        <v>0</v>
      </c>
      <c r="K235" s="43"/>
      <c r="L235" s="43"/>
      <c r="M235" s="43"/>
      <c r="N235" s="43"/>
      <c r="O235" s="43"/>
    </row>
    <row r="236" spans="1:15" ht="15.75" customHeight="1" x14ac:dyDescent="0.25">
      <c r="A236" s="38"/>
      <c r="B236" s="62"/>
      <c r="C236" s="43"/>
      <c r="D236" s="43">
        <f>WEEKNUM(INCIDENCIAS!$C236)</f>
        <v>0</v>
      </c>
      <c r="E236" s="62"/>
      <c r="F236" s="62"/>
      <c r="G236" s="43"/>
      <c r="H236" s="43"/>
      <c r="I236" s="45"/>
      <c r="J236" s="45">
        <f>INCIDENCIAS!$H236*INCIDENCIAS!$I236</f>
        <v>0</v>
      </c>
      <c r="K236" s="43"/>
      <c r="L236" s="43"/>
      <c r="M236" s="43"/>
      <c r="N236" s="43"/>
      <c r="O236" s="43"/>
    </row>
    <row r="237" spans="1:15" ht="15.75" customHeight="1" x14ac:dyDescent="0.25">
      <c r="A237" s="38"/>
      <c r="B237" s="62"/>
      <c r="C237" s="43"/>
      <c r="D237" s="43">
        <f>WEEKNUM(INCIDENCIAS!$C237)</f>
        <v>0</v>
      </c>
      <c r="E237" s="62"/>
      <c r="F237" s="62"/>
      <c r="G237" s="43"/>
      <c r="H237" s="43"/>
      <c r="I237" s="45"/>
      <c r="J237" s="45">
        <f>INCIDENCIAS!$H237*INCIDENCIAS!$I237</f>
        <v>0</v>
      </c>
      <c r="K237" s="43"/>
      <c r="L237" s="43"/>
      <c r="M237" s="43"/>
      <c r="N237" s="43"/>
      <c r="O237" s="43"/>
    </row>
    <row r="238" spans="1:15" ht="15.75" customHeight="1" x14ac:dyDescent="0.25">
      <c r="A238" s="38"/>
      <c r="B238" s="62"/>
      <c r="C238" s="43"/>
      <c r="D238" s="43">
        <f>WEEKNUM(INCIDENCIAS!$C238)</f>
        <v>0</v>
      </c>
      <c r="E238" s="62"/>
      <c r="F238" s="62"/>
      <c r="G238" s="43"/>
      <c r="H238" s="43"/>
      <c r="I238" s="45"/>
      <c r="J238" s="45">
        <f>INCIDENCIAS!$H238*INCIDENCIAS!$I238</f>
        <v>0</v>
      </c>
      <c r="K238" s="43"/>
      <c r="L238" s="43"/>
      <c r="M238" s="43"/>
      <c r="N238" s="43"/>
      <c r="O238" s="43"/>
    </row>
    <row r="239" spans="1:15" ht="15.75" customHeight="1" x14ac:dyDescent="0.25">
      <c r="A239" s="38"/>
      <c r="B239" s="62"/>
      <c r="C239" s="43"/>
      <c r="D239" s="43">
        <f>WEEKNUM(INCIDENCIAS!$C239)</f>
        <v>0</v>
      </c>
      <c r="E239" s="62"/>
      <c r="F239" s="62"/>
      <c r="G239" s="43"/>
      <c r="H239" s="43"/>
      <c r="I239" s="45"/>
      <c r="J239" s="45">
        <f>INCIDENCIAS!$H239*INCIDENCIAS!$I239</f>
        <v>0</v>
      </c>
      <c r="K239" s="43"/>
      <c r="L239" s="43"/>
      <c r="M239" s="43"/>
      <c r="N239" s="43"/>
      <c r="O239" s="43"/>
    </row>
    <row r="240" spans="1:15" ht="15.75" customHeight="1" x14ac:dyDescent="0.25">
      <c r="A240" s="38"/>
      <c r="B240" s="62"/>
      <c r="C240" s="43"/>
      <c r="D240" s="43">
        <f>WEEKNUM(INCIDENCIAS!$C240)</f>
        <v>0</v>
      </c>
      <c r="E240" s="62"/>
      <c r="F240" s="62"/>
      <c r="G240" s="43"/>
      <c r="H240" s="43"/>
      <c r="I240" s="45"/>
      <c r="J240" s="45">
        <f>INCIDENCIAS!$H240*INCIDENCIAS!$I240</f>
        <v>0</v>
      </c>
      <c r="K240" s="43"/>
      <c r="L240" s="43"/>
      <c r="M240" s="43"/>
      <c r="N240" s="43"/>
      <c r="O240" s="43"/>
    </row>
    <row r="241" spans="1:15" ht="15.75" customHeight="1" x14ac:dyDescent="0.25">
      <c r="A241" s="38"/>
      <c r="B241" s="62"/>
      <c r="C241" s="43"/>
      <c r="D241" s="43">
        <f>WEEKNUM(INCIDENCIAS!$C241)</f>
        <v>0</v>
      </c>
      <c r="E241" s="62"/>
      <c r="F241" s="62"/>
      <c r="G241" s="43"/>
      <c r="H241" s="43"/>
      <c r="I241" s="45"/>
      <c r="J241" s="45">
        <f>INCIDENCIAS!$H241*INCIDENCIAS!$I241</f>
        <v>0</v>
      </c>
      <c r="K241" s="43"/>
      <c r="L241" s="43"/>
      <c r="M241" s="43"/>
      <c r="N241" s="43"/>
      <c r="O241" s="43"/>
    </row>
    <row r="242" spans="1:15" ht="15.75" customHeight="1" x14ac:dyDescent="0.25">
      <c r="A242" s="38"/>
      <c r="B242" s="62"/>
      <c r="C242" s="43"/>
      <c r="D242" s="43">
        <f>WEEKNUM(INCIDENCIAS!$C242)</f>
        <v>0</v>
      </c>
      <c r="E242" s="62"/>
      <c r="F242" s="62"/>
      <c r="G242" s="43"/>
      <c r="H242" s="43"/>
      <c r="I242" s="45"/>
      <c r="J242" s="45">
        <f>INCIDENCIAS!$H242*INCIDENCIAS!$I242</f>
        <v>0</v>
      </c>
      <c r="K242" s="43"/>
      <c r="L242" s="43"/>
      <c r="M242" s="43"/>
      <c r="N242" s="43"/>
      <c r="O242" s="43"/>
    </row>
    <row r="243" spans="1:15" ht="15.75" customHeight="1" x14ac:dyDescent="0.25">
      <c r="A243" s="38"/>
      <c r="B243" s="62"/>
      <c r="C243" s="43"/>
      <c r="D243" s="43">
        <f>WEEKNUM(INCIDENCIAS!$C243)</f>
        <v>0</v>
      </c>
      <c r="E243" s="62"/>
      <c r="F243" s="62"/>
      <c r="G243" s="43"/>
      <c r="H243" s="43"/>
      <c r="I243" s="45"/>
      <c r="J243" s="45">
        <f>INCIDENCIAS!$H243*INCIDENCIAS!$I243</f>
        <v>0</v>
      </c>
      <c r="K243" s="43"/>
      <c r="L243" s="43"/>
      <c r="M243" s="43"/>
      <c r="N243" s="43"/>
      <c r="O243" s="43"/>
    </row>
    <row r="244" spans="1:15" ht="15.75" customHeight="1" x14ac:dyDescent="0.25">
      <c r="A244" s="38"/>
      <c r="B244" s="62"/>
      <c r="C244" s="43"/>
      <c r="D244" s="43">
        <f>WEEKNUM(INCIDENCIAS!$C244)</f>
        <v>0</v>
      </c>
      <c r="E244" s="62"/>
      <c r="F244" s="62"/>
      <c r="G244" s="43"/>
      <c r="H244" s="43"/>
      <c r="I244" s="45"/>
      <c r="J244" s="45">
        <f>INCIDENCIAS!$H244*INCIDENCIAS!$I244</f>
        <v>0</v>
      </c>
      <c r="K244" s="43"/>
      <c r="L244" s="43"/>
      <c r="M244" s="43"/>
      <c r="N244" s="43"/>
      <c r="O244" s="43"/>
    </row>
    <row r="245" spans="1:15" ht="15.75" customHeight="1" x14ac:dyDescent="0.25">
      <c r="A245" s="38"/>
      <c r="B245" s="62"/>
      <c r="C245" s="43"/>
      <c r="D245" s="43">
        <f>WEEKNUM(INCIDENCIAS!$C245)</f>
        <v>0</v>
      </c>
      <c r="E245" s="62"/>
      <c r="F245" s="62"/>
      <c r="G245" s="43"/>
      <c r="H245" s="43"/>
      <c r="I245" s="45"/>
      <c r="J245" s="45">
        <f>INCIDENCIAS!$H245*INCIDENCIAS!$I245</f>
        <v>0</v>
      </c>
      <c r="K245" s="43"/>
      <c r="L245" s="43"/>
      <c r="M245" s="43"/>
      <c r="N245" s="43"/>
      <c r="O245" s="43"/>
    </row>
    <row r="246" spans="1:15" ht="15.75" customHeight="1" x14ac:dyDescent="0.25"/>
    <row r="247" spans="1:15" ht="15.75" customHeight="1" x14ac:dyDescent="0.25"/>
    <row r="248" spans="1:15" ht="15.75" customHeight="1" x14ac:dyDescent="0.25"/>
    <row r="249" spans="1:15" ht="15.75" customHeight="1" x14ac:dyDescent="0.25"/>
    <row r="250" spans="1:15" ht="15.75" customHeight="1" x14ac:dyDescent="0.25"/>
    <row r="251" spans="1:15" ht="15.75" customHeight="1" x14ac:dyDescent="0.25"/>
    <row r="252" spans="1:15" ht="15.75" customHeight="1" x14ac:dyDescent="0.25"/>
    <row r="253" spans="1:15" ht="15.75" customHeight="1" x14ac:dyDescent="0.25"/>
    <row r="254" spans="1:15" ht="15.75" customHeight="1" x14ac:dyDescent="0.25"/>
    <row r="255" spans="1:15" ht="15.75" customHeight="1" x14ac:dyDescent="0.25"/>
    <row r="256" spans="1:15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phoneticPr fontId="23" type="noConversion"/>
  <pageMargins left="0.7" right="0.7" top="0.75" bottom="0.75" header="0" footer="0"/>
  <pageSetup orientation="landscape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Lista!$C$2:$C$4</xm:f>
          </x14:formula1>
          <xm:sqref>E3:E245</xm:sqref>
        </x14:dataValidation>
        <x14:dataValidation type="list" allowBlank="1" showErrorMessage="1" xr:uid="{00000000-0002-0000-0000-000001000000}">
          <x14:formula1>
            <xm:f>Lista!$A$2:$A$18</xm:f>
          </x14:formula1>
          <xm:sqref>B3:B73 B75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ABF8F"/>
  </sheetPr>
  <dimension ref="A1:P1000"/>
  <sheetViews>
    <sheetView workbookViewId="0">
      <selection activeCell="E13" sqref="E13"/>
    </sheetView>
  </sheetViews>
  <sheetFormatPr baseColWidth="10" defaultColWidth="12.625" defaultRowHeight="15" customHeight="1" x14ac:dyDescent="0.25"/>
  <cols>
    <col min="1" max="1" width="16.625" style="244" customWidth="1"/>
    <col min="2" max="2" width="21.375" style="35" customWidth="1"/>
    <col min="3" max="3" width="7.875" style="35" customWidth="1"/>
    <col min="4" max="4" width="11.875" style="35" customWidth="1"/>
    <col min="5" max="5" width="11.875" customWidth="1"/>
    <col min="6" max="6" width="8.75" customWidth="1"/>
    <col min="7" max="7" width="16.625" style="32" customWidth="1"/>
    <col min="8" max="8" width="21.375" style="35" customWidth="1"/>
    <col min="9" max="9" width="7.875" style="35" customWidth="1"/>
    <col min="10" max="10" width="11.875" style="35" customWidth="1"/>
    <col min="11" max="11" width="7.875" customWidth="1"/>
    <col min="12" max="12" width="11.875" customWidth="1"/>
    <col min="13" max="13" width="16.625" style="31" customWidth="1"/>
    <col min="14" max="14" width="21.375" style="35" customWidth="1"/>
    <col min="15" max="15" width="7.875" style="35" customWidth="1"/>
    <col min="16" max="16" width="11.875" style="35" customWidth="1"/>
    <col min="17" max="24" width="14.375" customWidth="1"/>
  </cols>
  <sheetData>
    <row r="1" spans="1:16" x14ac:dyDescent="0.25">
      <c r="A1" s="284" t="s">
        <v>75</v>
      </c>
      <c r="B1" s="285"/>
      <c r="C1" s="285"/>
      <c r="D1" s="285"/>
      <c r="F1" s="286"/>
      <c r="G1" s="286"/>
      <c r="H1" s="286"/>
      <c r="I1" s="286"/>
      <c r="J1" s="286"/>
      <c r="K1" s="1"/>
      <c r="M1" s="284" t="s">
        <v>76</v>
      </c>
      <c r="N1" s="285"/>
      <c r="O1" s="285"/>
      <c r="P1" s="285"/>
    </row>
    <row r="3" spans="1:16" x14ac:dyDescent="0.25">
      <c r="A3" s="243" t="s">
        <v>198</v>
      </c>
      <c r="B3" s="33" t="s">
        <v>200</v>
      </c>
      <c r="G3" s="29" t="s">
        <v>198</v>
      </c>
      <c r="H3" s="33" t="s">
        <v>200</v>
      </c>
      <c r="M3" s="29" t="s">
        <v>198</v>
      </c>
      <c r="N3" s="33" t="s">
        <v>200</v>
      </c>
    </row>
    <row r="4" spans="1:16" x14ac:dyDescent="0.25">
      <c r="A4" s="243" t="s">
        <v>199</v>
      </c>
      <c r="B4" s="34" t="s">
        <v>77</v>
      </c>
      <c r="C4" s="34" t="s">
        <v>78</v>
      </c>
      <c r="D4" s="34" t="s">
        <v>79</v>
      </c>
      <c r="G4" s="29" t="s">
        <v>199</v>
      </c>
      <c r="H4" s="34" t="s">
        <v>77</v>
      </c>
      <c r="I4" s="34" t="s">
        <v>78</v>
      </c>
      <c r="J4" s="34" t="s">
        <v>79</v>
      </c>
      <c r="M4" s="29" t="s">
        <v>199</v>
      </c>
      <c r="N4" s="34" t="s">
        <v>77</v>
      </c>
      <c r="O4" s="34" t="s">
        <v>78</v>
      </c>
      <c r="P4" s="34" t="s">
        <v>79</v>
      </c>
    </row>
    <row r="5" spans="1:16" x14ac:dyDescent="0.25">
      <c r="A5" s="243" t="s">
        <v>15</v>
      </c>
      <c r="B5" s="33">
        <v>89.9</v>
      </c>
      <c r="C5" s="33">
        <v>119.69999999999999</v>
      </c>
      <c r="D5" s="33">
        <v>209.6</v>
      </c>
      <c r="G5" s="30" t="s">
        <v>201</v>
      </c>
      <c r="H5" s="33"/>
      <c r="I5" s="33">
        <v>237</v>
      </c>
      <c r="J5" s="33">
        <v>237</v>
      </c>
      <c r="M5" s="29" t="s">
        <v>204</v>
      </c>
      <c r="N5" s="33">
        <v>89.9</v>
      </c>
      <c r="O5" s="33"/>
      <c r="P5" s="33">
        <v>89.9</v>
      </c>
    </row>
    <row r="6" spans="1:16" x14ac:dyDescent="0.25">
      <c r="A6" s="243" t="s">
        <v>28</v>
      </c>
      <c r="B6" s="33"/>
      <c r="C6" s="33">
        <v>108</v>
      </c>
      <c r="D6" s="33">
        <v>108</v>
      </c>
      <c r="G6" s="30" t="s">
        <v>202</v>
      </c>
      <c r="H6" s="33">
        <v>89.9</v>
      </c>
      <c r="I6" s="33">
        <v>119.69999999999999</v>
      </c>
      <c r="J6" s="33">
        <v>209.6</v>
      </c>
      <c r="M6" s="29" t="s">
        <v>205</v>
      </c>
      <c r="N6" s="33"/>
      <c r="O6" s="33">
        <v>356.7</v>
      </c>
      <c r="P6" s="33">
        <v>356.7</v>
      </c>
    </row>
    <row r="7" spans="1:16" x14ac:dyDescent="0.25">
      <c r="A7" s="243" t="s">
        <v>34</v>
      </c>
      <c r="B7" s="33"/>
      <c r="C7" s="33">
        <v>129</v>
      </c>
      <c r="D7" s="33">
        <v>129</v>
      </c>
      <c r="G7" s="30" t="s">
        <v>203</v>
      </c>
      <c r="H7" s="33">
        <v>89.9</v>
      </c>
      <c r="I7" s="33">
        <v>356.7</v>
      </c>
      <c r="J7" s="33">
        <v>446.6</v>
      </c>
      <c r="M7" s="29" t="s">
        <v>203</v>
      </c>
      <c r="N7" s="33">
        <v>89.9</v>
      </c>
      <c r="O7" s="33">
        <v>356.7</v>
      </c>
      <c r="P7" s="33">
        <v>446.6</v>
      </c>
    </row>
    <row r="8" spans="1:16" x14ac:dyDescent="0.25">
      <c r="A8" s="243" t="s">
        <v>79</v>
      </c>
      <c r="B8" s="33">
        <v>89.9</v>
      </c>
      <c r="C8" s="33">
        <v>356.7</v>
      </c>
      <c r="D8" s="33">
        <v>446.6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F1:J1"/>
    <mergeCell ref="M1:P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C1000"/>
  <sheetViews>
    <sheetView workbookViewId="0">
      <selection activeCell="C17" sqref="C17"/>
    </sheetView>
  </sheetViews>
  <sheetFormatPr baseColWidth="10" defaultColWidth="12.625" defaultRowHeight="15" customHeight="1" x14ac:dyDescent="0.25"/>
  <cols>
    <col min="1" max="1" width="17.25" style="53" customWidth="1"/>
    <col min="2" max="2" width="4.125" customWidth="1"/>
    <col min="3" max="3" width="12" style="50" customWidth="1"/>
    <col min="4" max="6" width="10.75" customWidth="1"/>
    <col min="7" max="26" width="14.375" customWidth="1"/>
  </cols>
  <sheetData>
    <row r="1" spans="1:3" x14ac:dyDescent="0.25">
      <c r="A1" s="51" t="s">
        <v>1</v>
      </c>
      <c r="C1" s="49" t="s">
        <v>80</v>
      </c>
    </row>
    <row r="2" spans="1:3" x14ac:dyDescent="0.25">
      <c r="A2" s="52" t="s">
        <v>15</v>
      </c>
      <c r="C2" s="49" t="s">
        <v>202</v>
      </c>
    </row>
    <row r="3" spans="1:3" x14ac:dyDescent="0.25">
      <c r="A3" s="52" t="s">
        <v>34</v>
      </c>
      <c r="C3" s="49" t="s">
        <v>201</v>
      </c>
    </row>
    <row r="4" spans="1:3" x14ac:dyDescent="0.25">
      <c r="A4" s="52" t="s">
        <v>63</v>
      </c>
      <c r="C4" s="49" t="s">
        <v>225</v>
      </c>
    </row>
    <row r="5" spans="1:3" x14ac:dyDescent="0.25">
      <c r="A5" s="52" t="s">
        <v>47</v>
      </c>
    </row>
    <row r="6" spans="1:3" x14ac:dyDescent="0.25">
      <c r="A6" s="52" t="s">
        <v>81</v>
      </c>
    </row>
    <row r="7" spans="1:3" x14ac:dyDescent="0.25">
      <c r="A7" s="52" t="s">
        <v>28</v>
      </c>
    </row>
    <row r="8" spans="1:3" x14ac:dyDescent="0.25">
      <c r="A8" s="52" t="s">
        <v>41</v>
      </c>
    </row>
    <row r="9" spans="1:3" x14ac:dyDescent="0.25">
      <c r="A9" s="52" t="s">
        <v>82</v>
      </c>
    </row>
    <row r="10" spans="1:3" x14ac:dyDescent="0.25">
      <c r="A10" s="52" t="s">
        <v>83</v>
      </c>
    </row>
    <row r="11" spans="1:3" x14ac:dyDescent="0.25">
      <c r="A11" s="52" t="s">
        <v>69</v>
      </c>
    </row>
    <row r="12" spans="1:3" x14ac:dyDescent="0.25">
      <c r="A12" s="52" t="s">
        <v>84</v>
      </c>
    </row>
    <row r="13" spans="1:3" x14ac:dyDescent="0.25">
      <c r="A13" s="52" t="s">
        <v>85</v>
      </c>
    </row>
    <row r="14" spans="1:3" x14ac:dyDescent="0.25">
      <c r="A14" s="52" t="s">
        <v>86</v>
      </c>
    </row>
    <row r="15" spans="1:3" x14ac:dyDescent="0.25">
      <c r="A15" s="52" t="s">
        <v>87</v>
      </c>
    </row>
    <row r="16" spans="1:3" x14ac:dyDescent="0.25">
      <c r="A16" s="52" t="s">
        <v>88</v>
      </c>
    </row>
    <row r="17" spans="1:1" x14ac:dyDescent="0.25">
      <c r="A17" s="52" t="s">
        <v>89</v>
      </c>
    </row>
    <row r="18" spans="1:1" x14ac:dyDescent="0.25">
      <c r="A18" s="52" t="s">
        <v>90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N1000"/>
  <sheetViews>
    <sheetView tabSelected="1" topLeftCell="A437" workbookViewId="0">
      <selection activeCell="N456" sqref="N456"/>
    </sheetView>
  </sheetViews>
  <sheetFormatPr baseColWidth="10" defaultColWidth="12.625" defaultRowHeight="15" customHeight="1" x14ac:dyDescent="0.2"/>
  <cols>
    <col min="1" max="1" width="15.625" customWidth="1"/>
    <col min="2" max="2" width="9" customWidth="1"/>
    <col min="3" max="3" width="11.25" customWidth="1"/>
    <col min="4" max="4" width="13.625" customWidth="1"/>
    <col min="5" max="5" width="11.625" customWidth="1"/>
    <col min="6" max="6" width="10.75" customWidth="1"/>
    <col min="7" max="7" width="11.125" customWidth="1"/>
    <col min="8" max="8" width="12.875" customWidth="1"/>
    <col min="9" max="9" width="11.625" customWidth="1"/>
    <col min="10" max="13" width="10.75" customWidth="1"/>
    <col min="14" max="26" width="14.375" customWidth="1"/>
  </cols>
  <sheetData>
    <row r="1" spans="1:11" x14ac:dyDescent="0.25">
      <c r="A1" s="100"/>
      <c r="B1" s="100"/>
      <c r="C1" s="287" t="s">
        <v>91</v>
      </c>
      <c r="D1" s="289"/>
      <c r="E1" s="289"/>
      <c r="F1" s="289"/>
      <c r="G1" s="289"/>
      <c r="H1" s="289"/>
      <c r="I1" s="100"/>
      <c r="J1" s="36"/>
      <c r="K1" s="36"/>
    </row>
    <row r="2" spans="1:11" x14ac:dyDescent="0.25">
      <c r="A2" s="100"/>
      <c r="B2" s="100"/>
      <c r="C2" s="100"/>
      <c r="D2" s="247"/>
      <c r="E2" s="248"/>
      <c r="F2" s="100"/>
      <c r="G2" s="100"/>
      <c r="H2" s="100"/>
      <c r="I2" s="100"/>
      <c r="J2" s="36"/>
      <c r="K2" s="36"/>
    </row>
    <row r="3" spans="1:11" x14ac:dyDescent="0.2">
      <c r="A3" s="249" t="s">
        <v>92</v>
      </c>
      <c r="B3" s="250" t="s">
        <v>93</v>
      </c>
      <c r="C3" s="250" t="s">
        <v>94</v>
      </c>
      <c r="D3" s="251" t="s">
        <v>95</v>
      </c>
      <c r="E3" s="252" t="s">
        <v>96</v>
      </c>
      <c r="F3" s="250" t="s">
        <v>97</v>
      </c>
      <c r="G3" s="250" t="s">
        <v>98</v>
      </c>
      <c r="H3" s="250" t="s">
        <v>99</v>
      </c>
      <c r="I3" s="249" t="s">
        <v>74</v>
      </c>
      <c r="J3" s="36"/>
      <c r="K3" s="36"/>
    </row>
    <row r="4" spans="1:11" x14ac:dyDescent="0.25">
      <c r="A4" s="100" t="s">
        <v>28</v>
      </c>
      <c r="B4" s="100" t="s">
        <v>100</v>
      </c>
      <c r="C4" s="100" t="s">
        <v>100</v>
      </c>
      <c r="D4" s="247" t="s">
        <v>100</v>
      </c>
      <c r="E4" s="248" t="s">
        <v>100</v>
      </c>
      <c r="F4" s="100" t="s">
        <v>100</v>
      </c>
      <c r="G4" s="100" t="s">
        <v>100</v>
      </c>
      <c r="H4" s="100" t="s">
        <v>100</v>
      </c>
      <c r="I4" s="100" t="s">
        <v>100</v>
      </c>
      <c r="J4" s="36"/>
      <c r="K4" s="36"/>
    </row>
    <row r="5" spans="1:11" x14ac:dyDescent="0.25">
      <c r="A5" s="100" t="s">
        <v>47</v>
      </c>
      <c r="B5" s="100">
        <v>209</v>
      </c>
      <c r="C5" s="100">
        <v>177</v>
      </c>
      <c r="D5" s="100">
        <v>167</v>
      </c>
      <c r="E5" s="100">
        <v>254</v>
      </c>
      <c r="F5" s="100">
        <v>232</v>
      </c>
      <c r="G5" s="100">
        <v>285</v>
      </c>
      <c r="H5" s="100">
        <v>309</v>
      </c>
      <c r="I5" s="253">
        <v>1724</v>
      </c>
      <c r="J5" s="36"/>
      <c r="K5" s="36"/>
    </row>
    <row r="6" spans="1:11" x14ac:dyDescent="0.25">
      <c r="A6" s="100" t="s">
        <v>82</v>
      </c>
      <c r="B6" s="100" t="s">
        <v>100</v>
      </c>
      <c r="C6" s="100" t="s">
        <v>100</v>
      </c>
      <c r="D6" s="247" t="s">
        <v>100</v>
      </c>
      <c r="E6" s="248" t="s">
        <v>100</v>
      </c>
      <c r="F6" s="100" t="s">
        <v>100</v>
      </c>
      <c r="G6" s="100" t="s">
        <v>100</v>
      </c>
      <c r="H6" s="100" t="s">
        <v>100</v>
      </c>
      <c r="I6" s="100" t="s">
        <v>100</v>
      </c>
      <c r="J6" s="36"/>
      <c r="K6" s="36"/>
    </row>
    <row r="7" spans="1:11" x14ac:dyDescent="0.25">
      <c r="A7" s="100" t="s">
        <v>101</v>
      </c>
      <c r="B7" s="100">
        <v>221</v>
      </c>
      <c r="C7" s="100">
        <v>190</v>
      </c>
      <c r="D7" s="100">
        <v>255</v>
      </c>
      <c r="E7" s="100">
        <v>222</v>
      </c>
      <c r="F7" s="100">
        <v>200</v>
      </c>
      <c r="G7" s="100">
        <v>276</v>
      </c>
      <c r="H7" s="100">
        <v>230</v>
      </c>
      <c r="I7" s="253">
        <v>1594</v>
      </c>
      <c r="J7" s="36"/>
      <c r="K7" s="36"/>
    </row>
    <row r="8" spans="1:11" x14ac:dyDescent="0.25">
      <c r="A8" s="100" t="s">
        <v>102</v>
      </c>
      <c r="B8" s="100">
        <v>81</v>
      </c>
      <c r="C8" s="100">
        <v>65</v>
      </c>
      <c r="D8" s="100">
        <v>93</v>
      </c>
      <c r="E8" s="100">
        <v>96</v>
      </c>
      <c r="F8" s="100">
        <v>94</v>
      </c>
      <c r="G8" s="100">
        <v>124</v>
      </c>
      <c r="H8" s="100">
        <v>157</v>
      </c>
      <c r="I8" s="100">
        <v>710</v>
      </c>
      <c r="J8" s="36"/>
      <c r="K8" s="36"/>
    </row>
    <row r="9" spans="1:11" x14ac:dyDescent="0.25">
      <c r="A9" s="100" t="s">
        <v>15</v>
      </c>
      <c r="B9" s="100">
        <v>253</v>
      </c>
      <c r="C9" s="100">
        <v>305</v>
      </c>
      <c r="D9" s="100">
        <v>235</v>
      </c>
      <c r="E9" s="100">
        <v>321</v>
      </c>
      <c r="F9" s="100">
        <v>263</v>
      </c>
      <c r="G9" s="100">
        <v>340</v>
      </c>
      <c r="H9" s="100">
        <v>293</v>
      </c>
      <c r="I9" s="253">
        <v>2010</v>
      </c>
      <c r="J9" s="36"/>
      <c r="K9" s="36"/>
    </row>
    <row r="10" spans="1:11" x14ac:dyDescent="0.25">
      <c r="A10" s="100" t="s">
        <v>81</v>
      </c>
      <c r="B10" s="100">
        <v>409</v>
      </c>
      <c r="C10" s="100">
        <v>490</v>
      </c>
      <c r="D10" s="100">
        <v>399</v>
      </c>
      <c r="E10" s="100">
        <v>482</v>
      </c>
      <c r="F10" s="100">
        <v>420</v>
      </c>
      <c r="G10" s="100">
        <v>625</v>
      </c>
      <c r="H10" s="100">
        <v>558</v>
      </c>
      <c r="I10" s="253">
        <v>3383</v>
      </c>
      <c r="J10" s="36"/>
      <c r="K10" s="36"/>
    </row>
    <row r="11" spans="1:11" x14ac:dyDescent="0.25">
      <c r="A11" s="100" t="s">
        <v>63</v>
      </c>
      <c r="B11" s="100">
        <v>344</v>
      </c>
      <c r="C11" s="100">
        <v>348</v>
      </c>
      <c r="D11" s="100">
        <v>331</v>
      </c>
      <c r="E11" s="100">
        <v>343</v>
      </c>
      <c r="F11" s="100">
        <v>268</v>
      </c>
      <c r="G11" s="100">
        <v>486</v>
      </c>
      <c r="H11" s="100">
        <v>311</v>
      </c>
      <c r="I11" s="253">
        <v>2431</v>
      </c>
      <c r="J11" s="36"/>
      <c r="K11" s="36"/>
    </row>
    <row r="12" spans="1:11" x14ac:dyDescent="0.25">
      <c r="A12" s="100" t="s">
        <v>103</v>
      </c>
      <c r="B12" s="100">
        <v>206</v>
      </c>
      <c r="C12" s="100">
        <v>227</v>
      </c>
      <c r="D12" s="100">
        <v>191</v>
      </c>
      <c r="E12" s="100">
        <v>213</v>
      </c>
      <c r="F12" s="100">
        <v>281</v>
      </c>
      <c r="G12" s="100">
        <v>321</v>
      </c>
      <c r="H12" s="100">
        <v>226</v>
      </c>
      <c r="I12" s="253">
        <v>1665</v>
      </c>
      <c r="J12" s="36"/>
      <c r="K12" s="36"/>
    </row>
    <row r="13" spans="1:11" x14ac:dyDescent="0.25">
      <c r="A13" s="100" t="s">
        <v>84</v>
      </c>
      <c r="B13" s="100">
        <v>86</v>
      </c>
      <c r="C13" s="100">
        <v>67</v>
      </c>
      <c r="D13" s="100">
        <v>63</v>
      </c>
      <c r="E13" s="100">
        <v>63</v>
      </c>
      <c r="F13" s="100">
        <v>81</v>
      </c>
      <c r="G13" s="100">
        <v>63</v>
      </c>
      <c r="H13" s="100">
        <v>77</v>
      </c>
      <c r="I13" s="100">
        <v>500</v>
      </c>
      <c r="J13" s="36"/>
      <c r="K13" s="36"/>
    </row>
    <row r="14" spans="1:11" x14ac:dyDescent="0.25">
      <c r="A14" s="100" t="s">
        <v>104</v>
      </c>
      <c r="B14" s="100">
        <v>81</v>
      </c>
      <c r="C14" s="100">
        <v>131</v>
      </c>
      <c r="D14" s="100">
        <v>112</v>
      </c>
      <c r="E14" s="100">
        <v>61</v>
      </c>
      <c r="F14" s="100">
        <v>81</v>
      </c>
      <c r="G14" s="100">
        <v>52</v>
      </c>
      <c r="H14" s="100">
        <v>66</v>
      </c>
      <c r="I14" s="100">
        <v>584</v>
      </c>
      <c r="J14" s="36"/>
      <c r="K14" s="36"/>
    </row>
    <row r="15" spans="1:11" x14ac:dyDescent="0.25">
      <c r="A15" s="100" t="s">
        <v>85</v>
      </c>
      <c r="B15" s="100">
        <v>95</v>
      </c>
      <c r="C15" s="100">
        <v>105</v>
      </c>
      <c r="D15" s="100">
        <v>196</v>
      </c>
      <c r="E15" s="100">
        <v>190</v>
      </c>
      <c r="F15" s="100">
        <v>102</v>
      </c>
      <c r="G15" s="100">
        <v>105</v>
      </c>
      <c r="H15" s="100">
        <v>120</v>
      </c>
      <c r="I15" s="100">
        <v>913</v>
      </c>
      <c r="J15" s="36"/>
      <c r="K15" s="36"/>
    </row>
    <row r="16" spans="1:11" x14ac:dyDescent="0.25">
      <c r="A16" s="100" t="s">
        <v>83</v>
      </c>
      <c r="B16" s="100">
        <v>697</v>
      </c>
      <c r="C16" s="100">
        <v>393</v>
      </c>
      <c r="D16" s="100">
        <v>307</v>
      </c>
      <c r="E16" s="100">
        <v>349</v>
      </c>
      <c r="F16" s="100">
        <v>341</v>
      </c>
      <c r="G16" s="100">
        <v>808</v>
      </c>
      <c r="H16" s="100">
        <v>591</v>
      </c>
      <c r="I16" s="253">
        <v>3486</v>
      </c>
      <c r="J16" s="36"/>
      <c r="K16" s="36"/>
    </row>
    <row r="17" spans="1:11" x14ac:dyDescent="0.25">
      <c r="A17" s="100" t="s">
        <v>86</v>
      </c>
      <c r="B17" s="100">
        <v>95</v>
      </c>
      <c r="C17" s="100">
        <v>98</v>
      </c>
      <c r="D17" s="100">
        <v>120</v>
      </c>
      <c r="E17" s="100">
        <v>117</v>
      </c>
      <c r="F17" s="100">
        <v>80</v>
      </c>
      <c r="G17" s="100">
        <v>95</v>
      </c>
      <c r="H17" s="100">
        <v>147</v>
      </c>
      <c r="I17" s="100">
        <v>752</v>
      </c>
      <c r="J17" s="36"/>
      <c r="K17" s="36"/>
    </row>
    <row r="18" spans="1:11" x14ac:dyDescent="0.25">
      <c r="A18" s="100" t="s">
        <v>105</v>
      </c>
      <c r="B18" s="100">
        <v>82</v>
      </c>
      <c r="C18" s="100">
        <v>75</v>
      </c>
      <c r="D18" s="100">
        <v>83</v>
      </c>
      <c r="E18" s="100">
        <v>87</v>
      </c>
      <c r="F18" s="100">
        <v>81</v>
      </c>
      <c r="G18" s="100">
        <v>85</v>
      </c>
      <c r="H18" s="100" t="s">
        <v>100</v>
      </c>
      <c r="I18" s="100">
        <v>493</v>
      </c>
      <c r="J18" s="36"/>
      <c r="K18" s="36"/>
    </row>
    <row r="19" spans="1:11" x14ac:dyDescent="0.25">
      <c r="A19" s="100" t="s">
        <v>106</v>
      </c>
      <c r="B19" s="100" t="s">
        <v>100</v>
      </c>
      <c r="C19" s="100" t="s">
        <v>100</v>
      </c>
      <c r="D19" s="247" t="s">
        <v>100</v>
      </c>
      <c r="E19" s="248" t="s">
        <v>100</v>
      </c>
      <c r="F19" s="100" t="s">
        <v>100</v>
      </c>
      <c r="G19" s="100" t="s">
        <v>100</v>
      </c>
      <c r="H19" s="100" t="s">
        <v>100</v>
      </c>
      <c r="I19" s="100" t="s">
        <v>100</v>
      </c>
      <c r="J19" s="36"/>
      <c r="K19" s="36"/>
    </row>
    <row r="20" spans="1:11" x14ac:dyDescent="0.25">
      <c r="A20" s="100" t="s">
        <v>107</v>
      </c>
      <c r="B20" s="100">
        <v>49</v>
      </c>
      <c r="C20" s="100">
        <v>67</v>
      </c>
      <c r="D20" s="100">
        <v>45</v>
      </c>
      <c r="E20" s="100">
        <v>44</v>
      </c>
      <c r="F20" s="100">
        <v>49</v>
      </c>
      <c r="G20" s="100">
        <v>70</v>
      </c>
      <c r="H20" s="100">
        <v>39</v>
      </c>
      <c r="I20" s="100">
        <v>363</v>
      </c>
      <c r="J20" s="36"/>
      <c r="K20" s="36"/>
    </row>
    <row r="21" spans="1:11" ht="15.75" customHeight="1" x14ac:dyDescent="0.25">
      <c r="A21" s="100" t="s">
        <v>108</v>
      </c>
      <c r="B21" s="100" t="s">
        <v>100</v>
      </c>
      <c r="C21" s="100" t="s">
        <v>100</v>
      </c>
      <c r="D21" s="247" t="s">
        <v>100</v>
      </c>
      <c r="E21" s="248" t="s">
        <v>100</v>
      </c>
      <c r="F21" s="100" t="s">
        <v>100</v>
      </c>
      <c r="G21" s="100" t="s">
        <v>100</v>
      </c>
      <c r="H21" s="100" t="s">
        <v>100</v>
      </c>
      <c r="I21" s="100" t="s">
        <v>100</v>
      </c>
      <c r="J21" s="36"/>
      <c r="K21" s="36"/>
    </row>
    <row r="22" spans="1:11" ht="15.75" customHeight="1" x14ac:dyDescent="0.25">
      <c r="A22" s="100"/>
      <c r="B22" s="100"/>
      <c r="C22" s="100"/>
      <c r="D22" s="247"/>
      <c r="E22" s="248"/>
      <c r="F22" s="100"/>
      <c r="G22" s="100"/>
      <c r="H22" s="100"/>
      <c r="I22" s="100"/>
      <c r="J22" s="36"/>
      <c r="K22" s="36"/>
    </row>
    <row r="23" spans="1:11" ht="15.75" customHeight="1" x14ac:dyDescent="0.25">
      <c r="A23" s="100"/>
      <c r="B23" s="100"/>
      <c r="C23" s="100"/>
      <c r="D23" s="247"/>
      <c r="E23" s="248"/>
      <c r="F23" s="100"/>
      <c r="G23" s="100"/>
      <c r="H23" s="254" t="s">
        <v>74</v>
      </c>
      <c r="I23" s="255">
        <f>SUM(I5:I22)</f>
        <v>20608</v>
      </c>
      <c r="J23" s="256"/>
      <c r="K23" s="36"/>
    </row>
    <row r="24" spans="1:11" ht="15.75" customHeight="1" x14ac:dyDescent="0.25">
      <c r="A24" s="36"/>
      <c r="B24" s="257"/>
      <c r="C24" s="257"/>
      <c r="D24" s="257"/>
      <c r="E24" s="257"/>
      <c r="F24" s="257"/>
      <c r="G24" s="257"/>
      <c r="H24" s="257"/>
      <c r="I24" s="257"/>
      <c r="J24" s="36"/>
      <c r="K24" s="36"/>
    </row>
    <row r="25" spans="1:11" ht="15.75" customHeight="1" x14ac:dyDescent="0.25">
      <c r="A25" s="100"/>
      <c r="B25" s="100"/>
      <c r="C25" s="287" t="s">
        <v>109</v>
      </c>
      <c r="D25" s="289"/>
      <c r="E25" s="289"/>
      <c r="F25" s="289"/>
      <c r="G25" s="289"/>
      <c r="H25" s="289"/>
      <c r="I25" s="100"/>
      <c r="J25" s="36"/>
      <c r="K25" s="36"/>
    </row>
    <row r="26" spans="1:11" ht="15.75" customHeight="1" x14ac:dyDescent="0.25">
      <c r="A26" s="100"/>
      <c r="B26" s="100"/>
      <c r="C26" s="100"/>
      <c r="D26" s="247"/>
      <c r="E26" s="248"/>
      <c r="F26" s="100"/>
      <c r="G26" s="100"/>
      <c r="H26" s="100"/>
      <c r="I26" s="100"/>
      <c r="J26" s="36"/>
      <c r="K26" s="36"/>
    </row>
    <row r="27" spans="1:11" ht="15.75" customHeight="1" x14ac:dyDescent="0.2">
      <c r="A27" s="249" t="s">
        <v>92</v>
      </c>
      <c r="B27" s="250" t="s">
        <v>110</v>
      </c>
      <c r="C27" s="250" t="s">
        <v>111</v>
      </c>
      <c r="D27" s="251" t="s">
        <v>112</v>
      </c>
      <c r="E27" s="252" t="s">
        <v>113</v>
      </c>
      <c r="F27" s="250" t="s">
        <v>114</v>
      </c>
      <c r="G27" s="250" t="s">
        <v>115</v>
      </c>
      <c r="H27" s="250" t="s">
        <v>116</v>
      </c>
      <c r="I27" s="249" t="s">
        <v>74</v>
      </c>
      <c r="J27" s="36"/>
      <c r="K27" s="36"/>
    </row>
    <row r="28" spans="1:11" ht="15.75" customHeight="1" x14ac:dyDescent="0.25">
      <c r="A28" s="100" t="s">
        <v>28</v>
      </c>
      <c r="B28" s="100">
        <v>357</v>
      </c>
      <c r="C28" s="100">
        <v>364</v>
      </c>
      <c r="D28" s="100">
        <v>383</v>
      </c>
      <c r="E28" s="100">
        <v>448</v>
      </c>
      <c r="F28" s="100">
        <v>379</v>
      </c>
      <c r="G28" s="100">
        <v>482</v>
      </c>
      <c r="H28" s="100">
        <v>341</v>
      </c>
      <c r="I28" s="253">
        <v>2754</v>
      </c>
      <c r="J28" s="36"/>
      <c r="K28" s="36"/>
    </row>
    <row r="29" spans="1:11" ht="15.75" customHeight="1" x14ac:dyDescent="0.25">
      <c r="A29" s="100" t="s">
        <v>47</v>
      </c>
      <c r="B29" s="100">
        <v>219</v>
      </c>
      <c r="C29" s="100">
        <v>217</v>
      </c>
      <c r="D29" s="100">
        <v>213</v>
      </c>
      <c r="E29" s="100">
        <v>188</v>
      </c>
      <c r="F29" s="100">
        <v>222</v>
      </c>
      <c r="G29" s="100">
        <v>245</v>
      </c>
      <c r="H29" s="100">
        <v>233</v>
      </c>
      <c r="I29" s="253">
        <v>1537</v>
      </c>
      <c r="J29" s="36"/>
      <c r="K29" s="36"/>
    </row>
    <row r="30" spans="1:11" ht="15.75" customHeight="1" x14ac:dyDescent="0.25">
      <c r="A30" s="100" t="s">
        <v>82</v>
      </c>
      <c r="B30" s="100">
        <v>68</v>
      </c>
      <c r="C30" s="100">
        <v>68</v>
      </c>
      <c r="D30" s="100">
        <v>56</v>
      </c>
      <c r="E30" s="100">
        <v>40</v>
      </c>
      <c r="F30" s="100">
        <v>60</v>
      </c>
      <c r="G30" s="100">
        <v>59</v>
      </c>
      <c r="H30" s="100">
        <v>130</v>
      </c>
      <c r="I30" s="100">
        <v>481</v>
      </c>
      <c r="J30" s="36"/>
      <c r="K30" s="36"/>
    </row>
    <row r="31" spans="1:11" ht="15.75" customHeight="1" x14ac:dyDescent="0.25">
      <c r="A31" s="100" t="s">
        <v>101</v>
      </c>
      <c r="B31" s="100">
        <v>182</v>
      </c>
      <c r="C31" s="100">
        <v>179</v>
      </c>
      <c r="D31" s="100">
        <v>202</v>
      </c>
      <c r="E31" s="100">
        <v>195</v>
      </c>
      <c r="F31" s="100">
        <v>213</v>
      </c>
      <c r="G31" s="100">
        <v>260</v>
      </c>
      <c r="H31" s="100">
        <v>209</v>
      </c>
      <c r="I31" s="253">
        <v>1440</v>
      </c>
      <c r="J31" s="36"/>
      <c r="K31" s="36"/>
    </row>
    <row r="32" spans="1:11" ht="15.75" customHeight="1" x14ac:dyDescent="0.25">
      <c r="A32" s="100" t="s">
        <v>102</v>
      </c>
      <c r="B32" s="100">
        <v>81</v>
      </c>
      <c r="C32" s="100">
        <v>66</v>
      </c>
      <c r="D32" s="100">
        <v>77</v>
      </c>
      <c r="E32" s="100">
        <v>86</v>
      </c>
      <c r="F32" s="100">
        <v>99</v>
      </c>
      <c r="G32" s="100">
        <v>121</v>
      </c>
      <c r="H32" s="100">
        <v>197</v>
      </c>
      <c r="I32" s="100">
        <v>727</v>
      </c>
      <c r="J32" s="36"/>
      <c r="K32" s="36"/>
    </row>
    <row r="33" spans="1:11" ht="15.75" customHeight="1" x14ac:dyDescent="0.25">
      <c r="A33" s="100" t="s">
        <v>15</v>
      </c>
      <c r="B33" s="100">
        <v>254</v>
      </c>
      <c r="C33" s="100">
        <v>278</v>
      </c>
      <c r="D33" s="100">
        <v>240</v>
      </c>
      <c r="E33" s="100">
        <v>270</v>
      </c>
      <c r="F33" s="100">
        <v>314</v>
      </c>
      <c r="G33" s="100">
        <v>328</v>
      </c>
      <c r="H33" s="100">
        <v>353</v>
      </c>
      <c r="I33" s="253">
        <v>2037</v>
      </c>
      <c r="J33" s="36"/>
      <c r="K33" s="36"/>
    </row>
    <row r="34" spans="1:11" ht="15.75" customHeight="1" x14ac:dyDescent="0.25">
      <c r="A34" s="100" t="s">
        <v>81</v>
      </c>
      <c r="B34" s="100">
        <v>438</v>
      </c>
      <c r="C34" s="100">
        <v>481</v>
      </c>
      <c r="D34" s="100">
        <v>475</v>
      </c>
      <c r="E34" s="100">
        <v>501</v>
      </c>
      <c r="F34" s="100">
        <v>390</v>
      </c>
      <c r="G34" s="100">
        <v>567</v>
      </c>
      <c r="H34" s="100">
        <v>582</v>
      </c>
      <c r="I34" s="253">
        <v>3434</v>
      </c>
      <c r="J34" s="36"/>
      <c r="K34" s="36"/>
    </row>
    <row r="35" spans="1:11" ht="15.75" customHeight="1" x14ac:dyDescent="0.25">
      <c r="A35" s="100" t="s">
        <v>63</v>
      </c>
      <c r="B35" s="100">
        <v>297</v>
      </c>
      <c r="C35" s="100">
        <v>324</v>
      </c>
      <c r="D35" s="247" t="s">
        <v>117</v>
      </c>
      <c r="E35" s="100">
        <v>290</v>
      </c>
      <c r="F35" s="100">
        <v>351</v>
      </c>
      <c r="G35" s="100">
        <v>364</v>
      </c>
      <c r="H35" s="100">
        <v>274</v>
      </c>
      <c r="I35" s="253">
        <v>1900</v>
      </c>
      <c r="J35" s="36"/>
      <c r="K35" s="36"/>
    </row>
    <row r="36" spans="1:11" ht="15.75" customHeight="1" x14ac:dyDescent="0.25">
      <c r="A36" s="100" t="s">
        <v>103</v>
      </c>
      <c r="B36" s="100">
        <v>250</v>
      </c>
      <c r="C36" s="100">
        <v>213</v>
      </c>
      <c r="D36" s="100">
        <v>262</v>
      </c>
      <c r="E36" s="100">
        <v>186</v>
      </c>
      <c r="F36" s="100">
        <v>258</v>
      </c>
      <c r="G36" s="100">
        <v>176</v>
      </c>
      <c r="H36" s="100">
        <v>188</v>
      </c>
      <c r="I36" s="253">
        <v>1533</v>
      </c>
      <c r="J36" s="36"/>
      <c r="K36" s="36"/>
    </row>
    <row r="37" spans="1:11" ht="15.75" customHeight="1" x14ac:dyDescent="0.25">
      <c r="A37" s="100" t="s">
        <v>84</v>
      </c>
      <c r="B37" s="100">
        <v>46</v>
      </c>
      <c r="C37" s="100">
        <v>436</v>
      </c>
      <c r="D37" s="100">
        <v>374</v>
      </c>
      <c r="E37" s="100">
        <v>438</v>
      </c>
      <c r="F37" s="100">
        <v>540</v>
      </c>
      <c r="G37" s="100">
        <v>542</v>
      </c>
      <c r="H37" s="100">
        <v>485</v>
      </c>
      <c r="I37" s="253">
        <v>2861</v>
      </c>
      <c r="J37" s="36"/>
      <c r="K37" s="36"/>
    </row>
    <row r="38" spans="1:11" ht="15.75" customHeight="1" x14ac:dyDescent="0.25">
      <c r="A38" s="100" t="s">
        <v>104</v>
      </c>
      <c r="B38" s="100">
        <v>78</v>
      </c>
      <c r="C38" s="100">
        <v>84</v>
      </c>
      <c r="D38" s="100">
        <v>68</v>
      </c>
      <c r="E38" s="100">
        <v>76</v>
      </c>
      <c r="F38" s="100">
        <v>66</v>
      </c>
      <c r="G38" s="100">
        <v>86</v>
      </c>
      <c r="H38" s="100">
        <v>113</v>
      </c>
      <c r="I38" s="100">
        <v>571</v>
      </c>
      <c r="J38" s="36"/>
      <c r="K38" s="36"/>
    </row>
    <row r="39" spans="1:11" ht="15.75" customHeight="1" x14ac:dyDescent="0.25">
      <c r="A39" s="100" t="s">
        <v>85</v>
      </c>
      <c r="B39" s="100">
        <v>138</v>
      </c>
      <c r="C39" s="100">
        <v>170</v>
      </c>
      <c r="D39" s="100">
        <v>180</v>
      </c>
      <c r="E39" s="100">
        <v>193</v>
      </c>
      <c r="F39" s="100">
        <v>199</v>
      </c>
      <c r="G39" s="100">
        <v>201</v>
      </c>
      <c r="H39" s="100">
        <v>151</v>
      </c>
      <c r="I39" s="253">
        <v>1232</v>
      </c>
      <c r="J39" s="36"/>
      <c r="K39" s="36"/>
    </row>
    <row r="40" spans="1:11" ht="15.75" customHeight="1" x14ac:dyDescent="0.25">
      <c r="A40" s="100" t="s">
        <v>83</v>
      </c>
      <c r="B40" s="100">
        <v>340</v>
      </c>
      <c r="C40" s="100">
        <v>328</v>
      </c>
      <c r="D40" s="100">
        <v>349</v>
      </c>
      <c r="E40" s="100">
        <v>354</v>
      </c>
      <c r="F40" s="100">
        <v>444</v>
      </c>
      <c r="G40" s="100">
        <v>455</v>
      </c>
      <c r="H40" s="100">
        <v>428</v>
      </c>
      <c r="I40" s="253">
        <v>2698</v>
      </c>
      <c r="J40" s="36"/>
      <c r="K40" s="36"/>
    </row>
    <row r="41" spans="1:11" ht="15.75" customHeight="1" x14ac:dyDescent="0.25">
      <c r="A41" s="100" t="s">
        <v>86</v>
      </c>
      <c r="B41" s="100">
        <v>66</v>
      </c>
      <c r="C41" s="100">
        <v>61</v>
      </c>
      <c r="D41" s="100">
        <v>95</v>
      </c>
      <c r="E41" s="100">
        <v>50</v>
      </c>
      <c r="F41" s="100">
        <v>136</v>
      </c>
      <c r="G41" s="100">
        <v>185</v>
      </c>
      <c r="H41" s="100">
        <v>144</v>
      </c>
      <c r="I41" s="100">
        <v>737</v>
      </c>
      <c r="J41" s="36"/>
      <c r="K41" s="36"/>
    </row>
    <row r="42" spans="1:11" ht="15.75" customHeight="1" x14ac:dyDescent="0.25">
      <c r="A42" s="100" t="s">
        <v>105</v>
      </c>
      <c r="B42" s="100">
        <v>89</v>
      </c>
      <c r="C42" s="100">
        <v>105</v>
      </c>
      <c r="D42" s="100">
        <v>117</v>
      </c>
      <c r="E42" s="100">
        <v>113</v>
      </c>
      <c r="F42" s="100">
        <v>96</v>
      </c>
      <c r="G42" s="100">
        <v>103</v>
      </c>
      <c r="H42" s="100">
        <v>104</v>
      </c>
      <c r="I42" s="100">
        <v>727</v>
      </c>
      <c r="J42" s="36"/>
      <c r="K42" s="36"/>
    </row>
    <row r="43" spans="1:11" ht="15.75" customHeight="1" x14ac:dyDescent="0.25">
      <c r="A43" s="100" t="s">
        <v>106</v>
      </c>
      <c r="B43" s="100">
        <v>93</v>
      </c>
      <c r="C43" s="100">
        <v>88</v>
      </c>
      <c r="D43" s="100">
        <v>99</v>
      </c>
      <c r="E43" s="100">
        <v>73</v>
      </c>
      <c r="F43" s="100">
        <v>95</v>
      </c>
      <c r="G43" s="100">
        <v>87</v>
      </c>
      <c r="H43" s="100">
        <v>90</v>
      </c>
      <c r="I43" s="100">
        <v>625</v>
      </c>
      <c r="J43" s="36"/>
      <c r="K43" s="36"/>
    </row>
    <row r="44" spans="1:11" ht="15.75" customHeight="1" x14ac:dyDescent="0.25">
      <c r="A44" s="100" t="s">
        <v>107</v>
      </c>
      <c r="B44" s="100">
        <v>34</v>
      </c>
      <c r="C44" s="100">
        <v>53</v>
      </c>
      <c r="D44" s="100">
        <v>46</v>
      </c>
      <c r="E44" s="100">
        <v>52</v>
      </c>
      <c r="F44" s="100">
        <v>47</v>
      </c>
      <c r="G44" s="100">
        <v>85</v>
      </c>
      <c r="H44" s="100">
        <v>40</v>
      </c>
      <c r="I44" s="100">
        <v>357</v>
      </c>
      <c r="J44" s="36"/>
      <c r="K44" s="36"/>
    </row>
    <row r="45" spans="1:11" ht="15.75" customHeight="1" x14ac:dyDescent="0.25">
      <c r="A45" s="100" t="s">
        <v>108</v>
      </c>
      <c r="B45" s="100" t="s">
        <v>100</v>
      </c>
      <c r="C45" s="100" t="s">
        <v>100</v>
      </c>
      <c r="D45" s="247" t="s">
        <v>100</v>
      </c>
      <c r="E45" s="248" t="s">
        <v>100</v>
      </c>
      <c r="F45" s="100" t="s">
        <v>100</v>
      </c>
      <c r="G45" s="100" t="s">
        <v>100</v>
      </c>
      <c r="H45" s="100" t="s">
        <v>100</v>
      </c>
      <c r="I45" s="100" t="s">
        <v>100</v>
      </c>
      <c r="J45" s="36"/>
      <c r="K45" s="36"/>
    </row>
    <row r="46" spans="1:11" ht="15.75" customHeight="1" x14ac:dyDescent="0.25">
      <c r="A46" s="100"/>
      <c r="B46" s="100"/>
      <c r="C46" s="100"/>
      <c r="D46" s="247"/>
      <c r="E46" s="248"/>
      <c r="F46" s="100"/>
      <c r="G46" s="100"/>
      <c r="H46" s="254" t="s">
        <v>74</v>
      </c>
      <c r="I46" s="255">
        <f>SUM(I28:I45)</f>
        <v>25651</v>
      </c>
      <c r="J46" s="36"/>
      <c r="K46" s="36"/>
    </row>
    <row r="47" spans="1:11" ht="15.75" customHeight="1" x14ac:dyDescent="0.25">
      <c r="A47" s="100"/>
      <c r="B47" s="100"/>
      <c r="C47" s="100"/>
      <c r="D47" s="247"/>
      <c r="E47" s="248"/>
      <c r="F47" s="100"/>
      <c r="G47" s="100"/>
      <c r="H47" s="100"/>
      <c r="I47" s="100"/>
      <c r="J47" s="36"/>
      <c r="K47" s="36"/>
    </row>
    <row r="48" spans="1:11" ht="15.75" customHeight="1" x14ac:dyDescent="0.25">
      <c r="A48" s="36"/>
      <c r="B48" s="257"/>
      <c r="C48" s="257"/>
      <c r="D48" s="257"/>
      <c r="E48" s="257"/>
      <c r="F48" s="257"/>
      <c r="G48" s="257"/>
      <c r="H48" s="257"/>
      <c r="I48" s="257"/>
      <c r="J48" s="36"/>
      <c r="K48" s="36"/>
    </row>
    <row r="49" spans="1:11" ht="15.75" customHeight="1" x14ac:dyDescent="0.25">
      <c r="A49" s="100"/>
      <c r="B49" s="100"/>
      <c r="C49" s="287" t="s">
        <v>118</v>
      </c>
      <c r="D49" s="289"/>
      <c r="E49" s="289"/>
      <c r="F49" s="289"/>
      <c r="G49" s="289"/>
      <c r="H49" s="289"/>
      <c r="I49" s="100"/>
      <c r="J49" s="36"/>
      <c r="K49" s="36"/>
    </row>
    <row r="50" spans="1:11" ht="15.75" customHeight="1" x14ac:dyDescent="0.25">
      <c r="A50" s="100"/>
      <c r="B50" s="100"/>
      <c r="C50" s="100"/>
      <c r="D50" s="247"/>
      <c r="E50" s="248"/>
      <c r="F50" s="100"/>
      <c r="G50" s="100"/>
      <c r="H50" s="100"/>
      <c r="I50" s="100"/>
      <c r="J50" s="36"/>
      <c r="K50" s="36"/>
    </row>
    <row r="51" spans="1:11" ht="15.75" customHeight="1" x14ac:dyDescent="0.2">
      <c r="A51" s="249" t="s">
        <v>92</v>
      </c>
      <c r="B51" s="250" t="s">
        <v>119</v>
      </c>
      <c r="C51" s="250" t="s">
        <v>120</v>
      </c>
      <c r="D51" s="251" t="s">
        <v>121</v>
      </c>
      <c r="E51" s="252" t="s">
        <v>122</v>
      </c>
      <c r="F51" s="250" t="s">
        <v>123</v>
      </c>
      <c r="G51" s="250" t="s">
        <v>124</v>
      </c>
      <c r="H51" s="250" t="s">
        <v>125</v>
      </c>
      <c r="I51" s="249" t="s">
        <v>74</v>
      </c>
      <c r="J51" s="36"/>
      <c r="K51" s="36"/>
    </row>
    <row r="52" spans="1:11" ht="15.75" customHeight="1" x14ac:dyDescent="0.25">
      <c r="A52" s="100" t="s">
        <v>28</v>
      </c>
      <c r="B52" s="100">
        <v>371</v>
      </c>
      <c r="C52" s="100">
        <v>277</v>
      </c>
      <c r="D52" s="100">
        <v>362</v>
      </c>
      <c r="E52" s="100">
        <v>341</v>
      </c>
      <c r="F52" s="100">
        <v>385</v>
      </c>
      <c r="G52" s="100">
        <v>387</v>
      </c>
      <c r="H52" s="100">
        <v>341</v>
      </c>
      <c r="I52" s="253">
        <v>2464</v>
      </c>
      <c r="J52" s="36"/>
      <c r="K52" s="36"/>
    </row>
    <row r="53" spans="1:11" ht="15.75" customHeight="1" x14ac:dyDescent="0.25">
      <c r="A53" s="100" t="s">
        <v>47</v>
      </c>
      <c r="B53" s="100">
        <v>218</v>
      </c>
      <c r="C53" s="100">
        <v>192</v>
      </c>
      <c r="D53" s="100">
        <v>186</v>
      </c>
      <c r="E53" s="100">
        <v>284</v>
      </c>
      <c r="F53" s="100">
        <v>259</v>
      </c>
      <c r="G53" s="100">
        <v>301</v>
      </c>
      <c r="H53" s="100">
        <v>243</v>
      </c>
      <c r="I53" s="253">
        <v>1683</v>
      </c>
      <c r="J53" s="36"/>
      <c r="K53" s="36"/>
    </row>
    <row r="54" spans="1:11" ht="15.75" customHeight="1" x14ac:dyDescent="0.25">
      <c r="A54" s="100" t="s">
        <v>82</v>
      </c>
      <c r="B54" s="100">
        <v>42</v>
      </c>
      <c r="C54" s="100">
        <v>40</v>
      </c>
      <c r="D54" s="100">
        <v>42</v>
      </c>
      <c r="E54" s="100">
        <v>46</v>
      </c>
      <c r="F54" s="100">
        <v>108</v>
      </c>
      <c r="G54" s="100">
        <v>76</v>
      </c>
      <c r="H54" s="100">
        <v>166</v>
      </c>
      <c r="I54" s="100">
        <v>520</v>
      </c>
      <c r="J54" s="36"/>
      <c r="K54" s="36"/>
    </row>
    <row r="55" spans="1:11" ht="15.75" customHeight="1" x14ac:dyDescent="0.25">
      <c r="A55" s="100" t="s">
        <v>101</v>
      </c>
      <c r="B55" s="100">
        <v>118</v>
      </c>
      <c r="C55" s="100">
        <v>122</v>
      </c>
      <c r="D55" s="100">
        <v>168</v>
      </c>
      <c r="E55" s="100">
        <v>161</v>
      </c>
      <c r="F55" s="100">
        <v>179</v>
      </c>
      <c r="G55" s="100">
        <v>211</v>
      </c>
      <c r="H55" s="100">
        <v>173</v>
      </c>
      <c r="I55" s="253">
        <v>1132</v>
      </c>
      <c r="J55" s="36"/>
      <c r="K55" s="36"/>
    </row>
    <row r="56" spans="1:11" ht="15.75" customHeight="1" x14ac:dyDescent="0.25">
      <c r="A56" s="100" t="s">
        <v>102</v>
      </c>
      <c r="B56" s="100">
        <v>100</v>
      </c>
      <c r="C56" s="100">
        <v>86</v>
      </c>
      <c r="D56" s="100">
        <v>91</v>
      </c>
      <c r="E56" s="100">
        <v>82</v>
      </c>
      <c r="F56" s="100">
        <v>100</v>
      </c>
      <c r="G56" s="100">
        <v>121</v>
      </c>
      <c r="H56" s="100">
        <v>135</v>
      </c>
      <c r="I56" s="100">
        <v>715</v>
      </c>
      <c r="J56" s="36"/>
      <c r="K56" s="36"/>
    </row>
    <row r="57" spans="1:11" ht="15.75" customHeight="1" x14ac:dyDescent="0.25">
      <c r="A57" s="100" t="s">
        <v>15</v>
      </c>
      <c r="B57" s="100">
        <v>225</v>
      </c>
      <c r="C57" s="100">
        <v>218</v>
      </c>
      <c r="D57" s="100">
        <v>255</v>
      </c>
      <c r="E57" s="100">
        <v>249</v>
      </c>
      <c r="F57" s="100">
        <v>240</v>
      </c>
      <c r="G57" s="100">
        <v>355</v>
      </c>
      <c r="H57" s="100">
        <v>346</v>
      </c>
      <c r="I57" s="253">
        <v>1888</v>
      </c>
      <c r="J57" s="36"/>
      <c r="K57" s="36"/>
    </row>
    <row r="58" spans="1:11" ht="15.75" customHeight="1" x14ac:dyDescent="0.25">
      <c r="A58" s="100" t="s">
        <v>81</v>
      </c>
      <c r="B58" s="100">
        <v>325</v>
      </c>
      <c r="C58" s="100">
        <v>334</v>
      </c>
      <c r="D58" s="100">
        <v>354</v>
      </c>
      <c r="E58" s="100">
        <v>300</v>
      </c>
      <c r="F58" s="100">
        <v>306</v>
      </c>
      <c r="G58" s="100">
        <v>373</v>
      </c>
      <c r="H58" s="100">
        <v>323</v>
      </c>
      <c r="I58" s="253">
        <v>2315</v>
      </c>
      <c r="J58" s="36"/>
      <c r="K58" s="36"/>
    </row>
    <row r="59" spans="1:11" ht="15.75" customHeight="1" x14ac:dyDescent="0.25">
      <c r="A59" s="100" t="s">
        <v>63</v>
      </c>
      <c r="B59" s="100">
        <v>147</v>
      </c>
      <c r="C59" s="100">
        <v>247</v>
      </c>
      <c r="D59" s="100">
        <v>251</v>
      </c>
      <c r="E59" s="100">
        <v>241</v>
      </c>
      <c r="F59" s="100">
        <v>247</v>
      </c>
      <c r="G59" s="100">
        <v>375</v>
      </c>
      <c r="H59" s="100">
        <v>240</v>
      </c>
      <c r="I59" s="253">
        <v>1748</v>
      </c>
      <c r="J59" s="36"/>
      <c r="K59" s="36"/>
    </row>
    <row r="60" spans="1:11" ht="15.75" customHeight="1" x14ac:dyDescent="0.25">
      <c r="A60" s="100" t="s">
        <v>103</v>
      </c>
      <c r="B60" s="100">
        <v>155</v>
      </c>
      <c r="C60" s="100">
        <v>137</v>
      </c>
      <c r="D60" s="100">
        <v>169</v>
      </c>
      <c r="E60" s="100">
        <v>161</v>
      </c>
      <c r="F60" s="100">
        <v>197</v>
      </c>
      <c r="G60" s="100">
        <v>182</v>
      </c>
      <c r="H60" s="100">
        <v>274</v>
      </c>
      <c r="I60" s="253">
        <v>1275</v>
      </c>
      <c r="J60" s="36"/>
      <c r="K60" s="36"/>
    </row>
    <row r="61" spans="1:11" ht="15.75" customHeight="1" x14ac:dyDescent="0.25">
      <c r="A61" s="100" t="s">
        <v>84</v>
      </c>
      <c r="B61" s="100">
        <v>417</v>
      </c>
      <c r="C61" s="100">
        <v>471</v>
      </c>
      <c r="D61" s="100">
        <v>409</v>
      </c>
      <c r="E61" s="100">
        <v>381</v>
      </c>
      <c r="F61" s="100">
        <v>466</v>
      </c>
      <c r="G61" s="100">
        <v>460</v>
      </c>
      <c r="H61" s="100">
        <v>435</v>
      </c>
      <c r="I61" s="253">
        <v>3039</v>
      </c>
      <c r="J61" s="36"/>
      <c r="K61" s="36"/>
    </row>
    <row r="62" spans="1:11" ht="15.75" customHeight="1" x14ac:dyDescent="0.25">
      <c r="A62" s="100" t="s">
        <v>104</v>
      </c>
      <c r="B62" s="100">
        <v>86</v>
      </c>
      <c r="C62" s="100">
        <v>84</v>
      </c>
      <c r="D62" s="100">
        <v>100</v>
      </c>
      <c r="E62" s="100">
        <v>94</v>
      </c>
      <c r="F62" s="100">
        <v>79</v>
      </c>
      <c r="G62" s="100">
        <v>82</v>
      </c>
      <c r="H62" s="100">
        <v>113</v>
      </c>
      <c r="I62" s="100">
        <v>638</v>
      </c>
      <c r="J62" s="36"/>
      <c r="K62" s="36"/>
    </row>
    <row r="63" spans="1:11" ht="15.75" customHeight="1" x14ac:dyDescent="0.25">
      <c r="A63" s="100" t="s">
        <v>85</v>
      </c>
      <c r="B63" s="100">
        <v>179</v>
      </c>
      <c r="C63" s="100">
        <v>177</v>
      </c>
      <c r="D63" s="100">
        <v>173</v>
      </c>
      <c r="E63" s="100">
        <v>168</v>
      </c>
      <c r="F63" s="100">
        <v>148</v>
      </c>
      <c r="G63" s="100">
        <v>159</v>
      </c>
      <c r="H63" s="100">
        <v>133</v>
      </c>
      <c r="I63" s="253">
        <v>1137</v>
      </c>
      <c r="J63" s="36"/>
      <c r="K63" s="36"/>
    </row>
    <row r="64" spans="1:11" ht="15.75" customHeight="1" x14ac:dyDescent="0.25">
      <c r="A64" s="100" t="s">
        <v>83</v>
      </c>
      <c r="B64" s="100">
        <v>316</v>
      </c>
      <c r="C64" s="100">
        <v>291</v>
      </c>
      <c r="D64" s="100">
        <v>413</v>
      </c>
      <c r="E64" s="100">
        <v>363</v>
      </c>
      <c r="F64" s="100">
        <v>351</v>
      </c>
      <c r="G64" s="100">
        <v>605</v>
      </c>
      <c r="H64" s="100">
        <v>544</v>
      </c>
      <c r="I64" s="253">
        <v>2883</v>
      </c>
      <c r="J64" s="36"/>
      <c r="K64" s="36"/>
    </row>
    <row r="65" spans="1:11" ht="15.75" customHeight="1" x14ac:dyDescent="0.25">
      <c r="A65" s="100" t="s">
        <v>86</v>
      </c>
      <c r="B65" s="100">
        <v>127</v>
      </c>
      <c r="C65" s="100">
        <v>150</v>
      </c>
      <c r="D65" s="100">
        <v>99</v>
      </c>
      <c r="E65" s="100">
        <v>72</v>
      </c>
      <c r="F65" s="100">
        <v>65</v>
      </c>
      <c r="G65" s="100">
        <v>84</v>
      </c>
      <c r="H65" s="100">
        <v>88</v>
      </c>
      <c r="I65" s="100">
        <v>685</v>
      </c>
      <c r="J65" s="36"/>
      <c r="K65" s="36"/>
    </row>
    <row r="66" spans="1:11" ht="15.75" customHeight="1" x14ac:dyDescent="0.25">
      <c r="A66" s="100" t="s">
        <v>105</v>
      </c>
      <c r="B66" s="100">
        <v>100</v>
      </c>
      <c r="C66" s="100">
        <v>100</v>
      </c>
      <c r="D66" s="100">
        <v>94</v>
      </c>
      <c r="E66" s="100">
        <v>124</v>
      </c>
      <c r="F66" s="100">
        <v>163</v>
      </c>
      <c r="G66" s="100">
        <v>199</v>
      </c>
      <c r="H66" s="100">
        <v>106</v>
      </c>
      <c r="I66" s="100">
        <v>886</v>
      </c>
      <c r="J66" s="36"/>
      <c r="K66" s="36"/>
    </row>
    <row r="67" spans="1:11" ht="15.75" customHeight="1" x14ac:dyDescent="0.25">
      <c r="A67" s="100" t="s">
        <v>106</v>
      </c>
      <c r="B67" s="100">
        <v>62</v>
      </c>
      <c r="C67" s="100">
        <v>88</v>
      </c>
      <c r="D67" s="100">
        <v>68</v>
      </c>
      <c r="E67" s="100">
        <v>44</v>
      </c>
      <c r="F67" s="100">
        <v>62</v>
      </c>
      <c r="G67" s="100">
        <v>121</v>
      </c>
      <c r="H67" s="100">
        <v>93</v>
      </c>
      <c r="I67" s="100">
        <v>538</v>
      </c>
      <c r="J67" s="36"/>
      <c r="K67" s="36"/>
    </row>
    <row r="68" spans="1:11" ht="15.75" customHeight="1" x14ac:dyDescent="0.25">
      <c r="A68" s="100" t="s">
        <v>107</v>
      </c>
      <c r="B68" s="100">
        <v>51</v>
      </c>
      <c r="C68" s="100">
        <v>46</v>
      </c>
      <c r="D68" s="100">
        <v>47</v>
      </c>
      <c r="E68" s="100">
        <v>50</v>
      </c>
      <c r="F68" s="100">
        <v>37</v>
      </c>
      <c r="G68" s="100">
        <v>51</v>
      </c>
      <c r="H68" s="100">
        <v>38</v>
      </c>
      <c r="I68" s="100">
        <v>320</v>
      </c>
      <c r="J68" s="36"/>
      <c r="K68" s="36"/>
    </row>
    <row r="69" spans="1:11" ht="15.75" customHeight="1" x14ac:dyDescent="0.25">
      <c r="A69" s="100" t="s">
        <v>108</v>
      </c>
      <c r="B69" s="100" t="s">
        <v>100</v>
      </c>
      <c r="C69" s="100" t="s">
        <v>100</v>
      </c>
      <c r="D69" s="247" t="s">
        <v>100</v>
      </c>
      <c r="E69" s="248" t="s">
        <v>100</v>
      </c>
      <c r="F69" s="100" t="s">
        <v>100</v>
      </c>
      <c r="G69" s="100" t="s">
        <v>100</v>
      </c>
      <c r="H69" s="100" t="s">
        <v>100</v>
      </c>
      <c r="I69" s="100" t="s">
        <v>100</v>
      </c>
      <c r="J69" s="36"/>
      <c r="K69" s="36"/>
    </row>
    <row r="70" spans="1:11" ht="15.75" customHeight="1" x14ac:dyDescent="0.25">
      <c r="A70" s="100"/>
      <c r="B70" s="100"/>
      <c r="C70" s="100"/>
      <c r="D70" s="247"/>
      <c r="E70" s="248"/>
      <c r="F70" s="100"/>
      <c r="G70" s="100"/>
      <c r="H70" s="254" t="s">
        <v>74</v>
      </c>
      <c r="I70" s="255">
        <f>SUM(I52:I69)</f>
        <v>23866</v>
      </c>
      <c r="J70" s="36"/>
      <c r="K70" s="36"/>
    </row>
    <row r="71" spans="1:11" ht="15.75" customHeight="1" x14ac:dyDescent="0.25">
      <c r="A71" s="100"/>
      <c r="B71" s="100"/>
      <c r="C71" s="100"/>
      <c r="D71" s="247"/>
      <c r="E71" s="248"/>
      <c r="F71" s="100"/>
      <c r="G71" s="100"/>
      <c r="H71" s="100"/>
      <c r="I71" s="100"/>
      <c r="J71" s="36"/>
      <c r="K71" s="36"/>
    </row>
    <row r="72" spans="1:11" ht="15.75" customHeight="1" x14ac:dyDescent="0.25">
      <c r="A72" s="36"/>
      <c r="B72" s="257"/>
      <c r="C72" s="257"/>
      <c r="D72" s="257"/>
      <c r="E72" s="257"/>
      <c r="F72" s="257"/>
      <c r="G72" s="257"/>
      <c r="H72" s="257"/>
      <c r="I72" s="257"/>
      <c r="J72" s="36"/>
      <c r="K72" s="36"/>
    </row>
    <row r="73" spans="1:11" ht="15.75" customHeight="1" x14ac:dyDescent="0.25">
      <c r="A73" s="100"/>
      <c r="B73" s="100"/>
      <c r="C73" s="287" t="s">
        <v>126</v>
      </c>
      <c r="D73" s="289"/>
      <c r="E73" s="289"/>
      <c r="F73" s="289"/>
      <c r="G73" s="289"/>
      <c r="H73" s="289"/>
      <c r="I73" s="100"/>
      <c r="J73" s="36"/>
      <c r="K73" s="36"/>
    </row>
    <row r="74" spans="1:11" ht="15.75" customHeight="1" x14ac:dyDescent="0.25">
      <c r="A74" s="100"/>
      <c r="B74" s="100"/>
      <c r="C74" s="100"/>
      <c r="D74" s="247"/>
      <c r="E74" s="248"/>
      <c r="F74" s="100"/>
      <c r="G74" s="100"/>
      <c r="H74" s="100"/>
      <c r="I74" s="100"/>
      <c r="J74" s="36"/>
      <c r="K74" s="36"/>
    </row>
    <row r="75" spans="1:11" ht="15.75" customHeight="1" x14ac:dyDescent="0.2">
      <c r="A75" s="249" t="s">
        <v>92</v>
      </c>
      <c r="B75" s="250" t="s">
        <v>127</v>
      </c>
      <c r="C75" s="250" t="s">
        <v>128</v>
      </c>
      <c r="D75" s="251" t="s">
        <v>129</v>
      </c>
      <c r="E75" s="252" t="s">
        <v>130</v>
      </c>
      <c r="F75" s="250" t="s">
        <v>131</v>
      </c>
      <c r="G75" s="250" t="s">
        <v>132</v>
      </c>
      <c r="H75" s="250" t="s">
        <v>133</v>
      </c>
      <c r="I75" s="249" t="s">
        <v>74</v>
      </c>
      <c r="J75" s="36"/>
      <c r="K75" s="36"/>
    </row>
    <row r="76" spans="1:11" ht="15.75" customHeight="1" x14ac:dyDescent="0.25">
      <c r="A76" s="100" t="s">
        <v>28</v>
      </c>
      <c r="B76" s="100">
        <v>320</v>
      </c>
      <c r="C76" s="100">
        <v>276</v>
      </c>
      <c r="D76" s="100">
        <v>327</v>
      </c>
      <c r="E76" s="100">
        <v>321</v>
      </c>
      <c r="F76" s="100">
        <v>330</v>
      </c>
      <c r="G76" s="100">
        <v>273</v>
      </c>
      <c r="H76" s="100">
        <v>321</v>
      </c>
      <c r="I76" s="253">
        <v>2168</v>
      </c>
      <c r="J76" s="36"/>
      <c r="K76" s="36"/>
    </row>
    <row r="77" spans="1:11" ht="15.75" customHeight="1" x14ac:dyDescent="0.25">
      <c r="A77" s="100" t="s">
        <v>47</v>
      </c>
      <c r="B77" s="100">
        <v>238</v>
      </c>
      <c r="C77" s="100">
        <v>264</v>
      </c>
      <c r="D77" s="100">
        <v>234</v>
      </c>
      <c r="E77" s="100">
        <v>272</v>
      </c>
      <c r="F77" s="100">
        <v>225</v>
      </c>
      <c r="G77" s="100">
        <v>304</v>
      </c>
      <c r="H77" s="100">
        <v>332</v>
      </c>
      <c r="I77" s="253">
        <v>1869</v>
      </c>
      <c r="J77" s="36"/>
      <c r="K77" s="36"/>
    </row>
    <row r="78" spans="1:11" ht="15.75" customHeight="1" x14ac:dyDescent="0.25">
      <c r="A78" s="100" t="s">
        <v>82</v>
      </c>
      <c r="B78" s="100">
        <v>41</v>
      </c>
      <c r="C78" s="100">
        <v>65</v>
      </c>
      <c r="D78" s="100">
        <v>68</v>
      </c>
      <c r="E78" s="100">
        <v>83</v>
      </c>
      <c r="F78" s="100">
        <v>85</v>
      </c>
      <c r="G78" s="100">
        <v>182</v>
      </c>
      <c r="H78" s="100">
        <v>129</v>
      </c>
      <c r="I78" s="100">
        <v>653</v>
      </c>
      <c r="J78" s="36"/>
      <c r="K78" s="36"/>
    </row>
    <row r="79" spans="1:11" ht="15.75" customHeight="1" x14ac:dyDescent="0.25">
      <c r="A79" s="100" t="s">
        <v>101</v>
      </c>
      <c r="B79" s="100">
        <v>159</v>
      </c>
      <c r="C79" s="100">
        <v>424</v>
      </c>
      <c r="D79" s="100">
        <v>460</v>
      </c>
      <c r="E79" s="100">
        <v>361</v>
      </c>
      <c r="F79" s="100">
        <v>377</v>
      </c>
      <c r="G79" s="100">
        <v>536</v>
      </c>
      <c r="H79" s="100">
        <v>422</v>
      </c>
      <c r="I79" s="253">
        <v>2739</v>
      </c>
      <c r="J79" s="36"/>
      <c r="K79" s="36"/>
    </row>
    <row r="80" spans="1:11" ht="15.75" customHeight="1" x14ac:dyDescent="0.25">
      <c r="A80" s="100" t="s">
        <v>102</v>
      </c>
      <c r="B80" s="100">
        <v>68</v>
      </c>
      <c r="C80" s="100">
        <v>90</v>
      </c>
      <c r="D80" s="100">
        <v>100</v>
      </c>
      <c r="E80" s="100">
        <v>95</v>
      </c>
      <c r="F80" s="100">
        <v>90</v>
      </c>
      <c r="G80" s="100">
        <v>105</v>
      </c>
      <c r="H80" s="100">
        <v>122</v>
      </c>
      <c r="I80" s="100">
        <v>670</v>
      </c>
      <c r="J80" s="36"/>
      <c r="K80" s="36"/>
    </row>
    <row r="81" spans="1:11" ht="15.75" customHeight="1" x14ac:dyDescent="0.25">
      <c r="A81" s="100" t="s">
        <v>15</v>
      </c>
      <c r="B81" s="100">
        <v>248</v>
      </c>
      <c r="C81" s="100">
        <v>238</v>
      </c>
      <c r="D81" s="100">
        <v>250</v>
      </c>
      <c r="E81" s="100">
        <v>261</v>
      </c>
      <c r="F81" s="100">
        <v>293</v>
      </c>
      <c r="G81" s="100">
        <v>388</v>
      </c>
      <c r="H81" s="100">
        <v>371</v>
      </c>
      <c r="I81" s="253">
        <v>2049</v>
      </c>
      <c r="J81" s="36"/>
      <c r="K81" s="36"/>
    </row>
    <row r="82" spans="1:11" ht="15.75" customHeight="1" x14ac:dyDescent="0.25">
      <c r="A82" s="100" t="s">
        <v>81</v>
      </c>
      <c r="B82" s="100">
        <v>226</v>
      </c>
      <c r="C82" s="100">
        <v>283</v>
      </c>
      <c r="D82" s="100">
        <v>246</v>
      </c>
      <c r="E82" s="100">
        <v>274</v>
      </c>
      <c r="F82" s="100">
        <v>260</v>
      </c>
      <c r="G82" s="100">
        <v>311</v>
      </c>
      <c r="H82" s="100">
        <v>372</v>
      </c>
      <c r="I82" s="253">
        <v>1972</v>
      </c>
      <c r="J82" s="36"/>
      <c r="K82" s="36"/>
    </row>
    <row r="83" spans="1:11" ht="15.75" customHeight="1" x14ac:dyDescent="0.25">
      <c r="A83" s="100" t="s">
        <v>63</v>
      </c>
      <c r="B83" s="100">
        <v>240</v>
      </c>
      <c r="C83" s="100">
        <v>230</v>
      </c>
      <c r="D83" s="100">
        <v>227</v>
      </c>
      <c r="E83" s="100">
        <v>203</v>
      </c>
      <c r="F83" s="100">
        <v>296</v>
      </c>
      <c r="G83" s="100">
        <v>384</v>
      </c>
      <c r="H83" s="100">
        <v>447</v>
      </c>
      <c r="I83" s="253">
        <v>2027</v>
      </c>
      <c r="J83" s="36"/>
      <c r="K83" s="36"/>
    </row>
    <row r="84" spans="1:11" ht="15.75" customHeight="1" x14ac:dyDescent="0.25">
      <c r="A84" s="100" t="s">
        <v>103</v>
      </c>
      <c r="B84" s="100">
        <v>184</v>
      </c>
      <c r="C84" s="100">
        <v>195</v>
      </c>
      <c r="D84" s="100">
        <v>182</v>
      </c>
      <c r="E84" s="100">
        <v>217</v>
      </c>
      <c r="F84" s="100">
        <v>317</v>
      </c>
      <c r="G84" s="100">
        <v>217</v>
      </c>
      <c r="H84" s="100">
        <v>246</v>
      </c>
      <c r="I84" s="253">
        <v>1558</v>
      </c>
      <c r="J84" s="36"/>
      <c r="K84" s="36"/>
    </row>
    <row r="85" spans="1:11" ht="15.75" customHeight="1" x14ac:dyDescent="0.25">
      <c r="A85" s="100" t="s">
        <v>84</v>
      </c>
      <c r="B85" s="100">
        <v>338</v>
      </c>
      <c r="C85" s="100">
        <v>427</v>
      </c>
      <c r="D85" s="100">
        <v>438</v>
      </c>
      <c r="E85" s="100">
        <v>377</v>
      </c>
      <c r="F85" s="100">
        <v>375</v>
      </c>
      <c r="G85" s="100">
        <v>436</v>
      </c>
      <c r="H85" s="100">
        <v>441</v>
      </c>
      <c r="I85" s="253">
        <v>2832</v>
      </c>
      <c r="J85" s="36"/>
      <c r="K85" s="36"/>
    </row>
    <row r="86" spans="1:11" ht="15.75" customHeight="1" x14ac:dyDescent="0.25">
      <c r="A86" s="100" t="s">
        <v>104</v>
      </c>
      <c r="B86" s="100">
        <v>96</v>
      </c>
      <c r="C86" s="100">
        <v>119</v>
      </c>
      <c r="D86" s="100">
        <v>110</v>
      </c>
      <c r="E86" s="100">
        <v>116</v>
      </c>
      <c r="F86" s="100">
        <v>103</v>
      </c>
      <c r="G86" s="100">
        <v>102</v>
      </c>
      <c r="H86" s="100">
        <v>108</v>
      </c>
      <c r="I86" s="100">
        <v>754</v>
      </c>
      <c r="J86" s="36"/>
      <c r="K86" s="36"/>
    </row>
    <row r="87" spans="1:11" ht="15.75" customHeight="1" x14ac:dyDescent="0.25">
      <c r="A87" s="100" t="s">
        <v>85</v>
      </c>
      <c r="B87" s="100">
        <v>151</v>
      </c>
      <c r="C87" s="100">
        <v>147</v>
      </c>
      <c r="D87" s="100">
        <v>121</v>
      </c>
      <c r="E87" s="100">
        <v>113</v>
      </c>
      <c r="F87" s="100">
        <v>108</v>
      </c>
      <c r="G87" s="100">
        <v>163</v>
      </c>
      <c r="H87" s="100">
        <v>154</v>
      </c>
      <c r="I87" s="253">
        <v>957</v>
      </c>
      <c r="J87" s="36"/>
      <c r="K87" s="36"/>
    </row>
    <row r="88" spans="1:11" ht="15.75" customHeight="1" x14ac:dyDescent="0.25">
      <c r="A88" s="100" t="s">
        <v>83</v>
      </c>
      <c r="B88" s="100">
        <v>369</v>
      </c>
      <c r="C88" s="100">
        <v>394</v>
      </c>
      <c r="D88" s="100">
        <v>402</v>
      </c>
      <c r="E88" s="100">
        <v>368</v>
      </c>
      <c r="F88" s="100">
        <v>387</v>
      </c>
      <c r="G88" s="100">
        <v>477</v>
      </c>
      <c r="H88" s="100">
        <v>405</v>
      </c>
      <c r="I88" s="253">
        <v>2802</v>
      </c>
      <c r="J88" s="36"/>
      <c r="K88" s="36"/>
    </row>
    <row r="89" spans="1:11" ht="15.75" customHeight="1" x14ac:dyDescent="0.25">
      <c r="A89" s="100" t="s">
        <v>86</v>
      </c>
      <c r="B89" s="100">
        <v>70</v>
      </c>
      <c r="C89" s="100">
        <v>113</v>
      </c>
      <c r="D89" s="100">
        <v>56</v>
      </c>
      <c r="E89" s="100">
        <v>52</v>
      </c>
      <c r="F89" s="100">
        <v>54</v>
      </c>
      <c r="G89" s="100">
        <v>52</v>
      </c>
      <c r="H89" s="100">
        <v>103</v>
      </c>
      <c r="I89" s="100">
        <v>500</v>
      </c>
      <c r="J89" s="36"/>
      <c r="K89" s="36"/>
    </row>
    <row r="90" spans="1:11" ht="15.75" customHeight="1" x14ac:dyDescent="0.25">
      <c r="A90" s="100" t="s">
        <v>105</v>
      </c>
      <c r="B90" s="100">
        <v>122</v>
      </c>
      <c r="C90" s="100">
        <v>99</v>
      </c>
      <c r="D90" s="100">
        <v>113</v>
      </c>
      <c r="E90" s="100">
        <v>109</v>
      </c>
      <c r="F90" s="100">
        <v>106</v>
      </c>
      <c r="G90" s="100">
        <v>130</v>
      </c>
      <c r="H90" s="100">
        <v>10</v>
      </c>
      <c r="I90" s="100">
        <v>689</v>
      </c>
      <c r="J90" s="36"/>
      <c r="K90" s="36"/>
    </row>
    <row r="91" spans="1:11" ht="15.75" customHeight="1" x14ac:dyDescent="0.25">
      <c r="A91" s="100" t="s">
        <v>106</v>
      </c>
      <c r="B91" s="100">
        <v>49</v>
      </c>
      <c r="C91" s="100">
        <v>50</v>
      </c>
      <c r="D91" s="100">
        <v>71</v>
      </c>
      <c r="E91" s="100">
        <v>45</v>
      </c>
      <c r="F91" s="100">
        <v>53</v>
      </c>
      <c r="G91" s="100">
        <v>53</v>
      </c>
      <c r="H91" s="100" t="s">
        <v>100</v>
      </c>
      <c r="I91" s="100">
        <v>321</v>
      </c>
      <c r="J91" s="36"/>
      <c r="K91" s="36"/>
    </row>
    <row r="92" spans="1:11" ht="15.75" customHeight="1" x14ac:dyDescent="0.25">
      <c r="A92" s="100" t="s">
        <v>107</v>
      </c>
      <c r="B92" s="100">
        <v>36</v>
      </c>
      <c r="C92" s="100">
        <v>39</v>
      </c>
      <c r="D92" s="100">
        <v>40</v>
      </c>
      <c r="E92" s="100">
        <v>10</v>
      </c>
      <c r="F92" s="100">
        <v>49</v>
      </c>
      <c r="G92" s="100">
        <v>61</v>
      </c>
      <c r="H92" s="100">
        <v>30</v>
      </c>
      <c r="I92" s="100">
        <v>265</v>
      </c>
      <c r="J92" s="36"/>
      <c r="K92" s="36"/>
    </row>
    <row r="93" spans="1:11" ht="15.75" customHeight="1" x14ac:dyDescent="0.25">
      <c r="A93" s="100" t="s">
        <v>108</v>
      </c>
      <c r="B93" s="100" t="s">
        <v>100</v>
      </c>
      <c r="C93" s="100" t="s">
        <v>100</v>
      </c>
      <c r="D93" s="247" t="s">
        <v>100</v>
      </c>
      <c r="E93" s="248" t="s">
        <v>100</v>
      </c>
      <c r="F93" s="100" t="s">
        <v>100</v>
      </c>
      <c r="G93" s="100" t="s">
        <v>100</v>
      </c>
      <c r="H93" s="100" t="s">
        <v>100</v>
      </c>
      <c r="I93" s="100" t="s">
        <v>100</v>
      </c>
      <c r="J93" s="36"/>
      <c r="K93" s="36"/>
    </row>
    <row r="94" spans="1:11" ht="15.75" customHeight="1" x14ac:dyDescent="0.25">
      <c r="A94" s="100"/>
      <c r="B94" s="100"/>
      <c r="C94" s="100"/>
      <c r="D94" s="247"/>
      <c r="E94" s="248"/>
      <c r="F94" s="100"/>
      <c r="G94" s="100"/>
      <c r="H94" s="254" t="s">
        <v>74</v>
      </c>
      <c r="I94" s="255">
        <f>SUM(I76:I93)</f>
        <v>24825</v>
      </c>
      <c r="J94" s="36"/>
      <c r="K94" s="36"/>
    </row>
    <row r="95" spans="1:11" ht="15.75" customHeight="1" x14ac:dyDescent="0.25">
      <c r="A95" s="100"/>
      <c r="B95" s="100"/>
      <c r="C95" s="100"/>
      <c r="D95" s="247"/>
      <c r="E95" s="248"/>
      <c r="F95" s="100"/>
      <c r="G95" s="100"/>
      <c r="H95" s="100"/>
      <c r="I95" s="100"/>
      <c r="J95" s="36"/>
      <c r="K95" s="36"/>
    </row>
    <row r="96" spans="1:11" ht="15.75" customHeight="1" x14ac:dyDescent="0.25">
      <c r="A96" s="36"/>
      <c r="B96" s="257"/>
      <c r="C96" s="257"/>
      <c r="D96" s="257"/>
      <c r="E96" s="257"/>
      <c r="F96" s="257"/>
      <c r="G96" s="257"/>
      <c r="H96" s="257"/>
      <c r="I96" s="257"/>
      <c r="J96" s="36"/>
      <c r="K96" s="36"/>
    </row>
    <row r="97" spans="1:11" ht="15.75" customHeight="1" x14ac:dyDescent="0.25">
      <c r="A97" s="36"/>
      <c r="B97" s="257"/>
      <c r="C97" s="257"/>
      <c r="D97" s="287" t="s">
        <v>134</v>
      </c>
      <c r="E97" s="289"/>
      <c r="F97" s="289"/>
      <c r="G97" s="289"/>
      <c r="H97" s="289"/>
      <c r="I97" s="289"/>
      <c r="J97" s="36"/>
      <c r="K97" s="36"/>
    </row>
    <row r="98" spans="1:11" ht="15.75" customHeight="1" x14ac:dyDescent="0.25">
      <c r="A98" s="36"/>
      <c r="B98" s="257"/>
      <c r="C98" s="257"/>
      <c r="D98" s="258"/>
      <c r="E98" s="258"/>
      <c r="F98" s="258"/>
      <c r="G98" s="258"/>
      <c r="H98" s="258"/>
      <c r="I98" s="258"/>
      <c r="J98" s="36"/>
      <c r="K98" s="36"/>
    </row>
    <row r="99" spans="1:11" ht="15.75" customHeight="1" x14ac:dyDescent="0.2">
      <c r="A99" s="249" t="s">
        <v>92</v>
      </c>
      <c r="B99" s="250" t="s">
        <v>135</v>
      </c>
      <c r="C99" s="250" t="s">
        <v>136</v>
      </c>
      <c r="D99" s="251" t="s">
        <v>137</v>
      </c>
      <c r="E99" s="252" t="s">
        <v>138</v>
      </c>
      <c r="F99" s="250" t="s">
        <v>139</v>
      </c>
      <c r="G99" s="250" t="s">
        <v>140</v>
      </c>
      <c r="H99" s="250" t="s">
        <v>141</v>
      </c>
      <c r="I99" s="249" t="s">
        <v>74</v>
      </c>
      <c r="J99" s="36"/>
      <c r="K99" s="36"/>
    </row>
    <row r="100" spans="1:11" ht="15.75" customHeight="1" x14ac:dyDescent="0.25">
      <c r="A100" s="100" t="s">
        <v>28</v>
      </c>
      <c r="B100" s="100">
        <v>299</v>
      </c>
      <c r="C100" s="100">
        <v>380</v>
      </c>
      <c r="D100" s="100">
        <v>329</v>
      </c>
      <c r="E100" s="100">
        <v>347</v>
      </c>
      <c r="F100" s="100">
        <v>437</v>
      </c>
      <c r="G100" s="100">
        <v>405</v>
      </c>
      <c r="H100" s="100">
        <v>316</v>
      </c>
      <c r="I100" s="253">
        <v>2513</v>
      </c>
      <c r="J100" s="36"/>
      <c r="K100" s="36"/>
    </row>
    <row r="101" spans="1:11" ht="15.75" customHeight="1" x14ac:dyDescent="0.25">
      <c r="A101" s="100" t="s">
        <v>47</v>
      </c>
      <c r="B101" s="100">
        <v>211</v>
      </c>
      <c r="C101" s="100">
        <v>243</v>
      </c>
      <c r="D101" s="100">
        <v>283</v>
      </c>
      <c r="E101" s="100">
        <v>278</v>
      </c>
      <c r="F101" s="100">
        <v>243</v>
      </c>
      <c r="G101" s="100">
        <v>213</v>
      </c>
      <c r="H101" s="100">
        <v>208</v>
      </c>
      <c r="I101" s="253">
        <v>1679</v>
      </c>
      <c r="J101" s="36"/>
      <c r="K101" s="36"/>
    </row>
    <row r="102" spans="1:11" ht="15.75" customHeight="1" x14ac:dyDescent="0.25">
      <c r="A102" s="100" t="s">
        <v>82</v>
      </c>
      <c r="B102" s="100">
        <v>101</v>
      </c>
      <c r="C102" s="100">
        <v>89</v>
      </c>
      <c r="D102" s="100">
        <v>106</v>
      </c>
      <c r="E102" s="100">
        <v>71</v>
      </c>
      <c r="F102" s="100">
        <v>116</v>
      </c>
      <c r="G102" s="100">
        <v>141</v>
      </c>
      <c r="H102" s="100">
        <v>202</v>
      </c>
      <c r="I102" s="100">
        <v>826</v>
      </c>
      <c r="J102" s="36"/>
      <c r="K102" s="36"/>
    </row>
    <row r="103" spans="1:11" ht="15.75" customHeight="1" x14ac:dyDescent="0.25">
      <c r="A103" s="100" t="s">
        <v>101</v>
      </c>
      <c r="B103" s="100">
        <v>150</v>
      </c>
      <c r="C103" s="100">
        <v>138</v>
      </c>
      <c r="D103" s="100">
        <v>199</v>
      </c>
      <c r="E103" s="100">
        <v>479</v>
      </c>
      <c r="F103" s="100">
        <v>263</v>
      </c>
      <c r="G103" s="100">
        <v>307</v>
      </c>
      <c r="H103" s="100">
        <v>265</v>
      </c>
      <c r="I103" s="253">
        <v>1801</v>
      </c>
      <c r="J103" s="36"/>
      <c r="K103" s="36"/>
    </row>
    <row r="104" spans="1:11" ht="15.75" customHeight="1" x14ac:dyDescent="0.25">
      <c r="A104" s="100" t="s">
        <v>102</v>
      </c>
      <c r="B104" s="100">
        <v>76</v>
      </c>
      <c r="C104" s="100">
        <v>72</v>
      </c>
      <c r="D104" s="100">
        <v>72</v>
      </c>
      <c r="E104" s="100">
        <v>95</v>
      </c>
      <c r="F104" s="100">
        <v>119</v>
      </c>
      <c r="G104" s="100">
        <v>105</v>
      </c>
      <c r="H104" s="100">
        <v>125</v>
      </c>
      <c r="I104" s="100">
        <v>664</v>
      </c>
      <c r="J104" s="36"/>
      <c r="K104" s="36"/>
    </row>
    <row r="105" spans="1:11" ht="15.75" customHeight="1" x14ac:dyDescent="0.25">
      <c r="A105" s="100" t="s">
        <v>15</v>
      </c>
      <c r="B105" s="100">
        <v>267</v>
      </c>
      <c r="C105" s="100">
        <v>245</v>
      </c>
      <c r="D105" s="100">
        <v>265</v>
      </c>
      <c r="E105" s="100">
        <v>376</v>
      </c>
      <c r="F105" s="100">
        <v>321</v>
      </c>
      <c r="G105" s="100">
        <v>330</v>
      </c>
      <c r="H105" s="100">
        <v>374</v>
      </c>
      <c r="I105" s="253">
        <v>2178</v>
      </c>
      <c r="J105" s="36"/>
      <c r="K105" s="36"/>
    </row>
    <row r="106" spans="1:11" ht="15.75" customHeight="1" x14ac:dyDescent="0.25">
      <c r="A106" s="100" t="s">
        <v>81</v>
      </c>
      <c r="B106" s="100">
        <v>251</v>
      </c>
      <c r="C106" s="100">
        <v>265</v>
      </c>
      <c r="D106" s="100">
        <v>285</v>
      </c>
      <c r="E106" s="100">
        <v>334</v>
      </c>
      <c r="F106" s="100">
        <v>362</v>
      </c>
      <c r="G106" s="100">
        <v>370</v>
      </c>
      <c r="H106" s="100">
        <v>445</v>
      </c>
      <c r="I106" s="253">
        <v>2312</v>
      </c>
      <c r="J106" s="36"/>
      <c r="K106" s="36"/>
    </row>
    <row r="107" spans="1:11" ht="15.75" customHeight="1" x14ac:dyDescent="0.25">
      <c r="A107" s="100" t="s">
        <v>63</v>
      </c>
      <c r="B107" s="100">
        <v>224</v>
      </c>
      <c r="C107" s="100">
        <v>248</v>
      </c>
      <c r="D107" s="100">
        <v>341</v>
      </c>
      <c r="E107" s="100">
        <v>393</v>
      </c>
      <c r="F107" s="100">
        <v>424</v>
      </c>
      <c r="G107" s="100">
        <v>491</v>
      </c>
      <c r="H107" s="100">
        <v>476</v>
      </c>
      <c r="I107" s="253">
        <v>2597</v>
      </c>
      <c r="J107" s="36"/>
      <c r="K107" s="36"/>
    </row>
    <row r="108" spans="1:11" ht="15.75" customHeight="1" x14ac:dyDescent="0.25">
      <c r="A108" s="100" t="s">
        <v>103</v>
      </c>
      <c r="B108" s="100">
        <v>160</v>
      </c>
      <c r="C108" s="100">
        <v>214</v>
      </c>
      <c r="D108" s="100">
        <v>220</v>
      </c>
      <c r="E108" s="100">
        <v>207</v>
      </c>
      <c r="F108" s="100">
        <v>189</v>
      </c>
      <c r="G108" s="100">
        <v>172</v>
      </c>
      <c r="H108" s="100">
        <v>152</v>
      </c>
      <c r="I108" s="253">
        <v>1314</v>
      </c>
      <c r="J108" s="36"/>
      <c r="K108" s="36"/>
    </row>
    <row r="109" spans="1:11" ht="15.75" customHeight="1" x14ac:dyDescent="0.25">
      <c r="A109" s="100" t="s">
        <v>84</v>
      </c>
      <c r="B109" s="100">
        <v>336</v>
      </c>
      <c r="C109" s="100">
        <v>292</v>
      </c>
      <c r="D109" s="100">
        <v>472</v>
      </c>
      <c r="E109" s="100">
        <v>295</v>
      </c>
      <c r="F109" s="100">
        <v>295</v>
      </c>
      <c r="G109" s="100">
        <v>351</v>
      </c>
      <c r="H109" s="100">
        <v>384</v>
      </c>
      <c r="I109" s="253">
        <v>2425</v>
      </c>
      <c r="J109" s="36"/>
      <c r="K109" s="36"/>
    </row>
    <row r="110" spans="1:11" ht="15.75" customHeight="1" x14ac:dyDescent="0.25">
      <c r="A110" s="100" t="s">
        <v>104</v>
      </c>
      <c r="B110" s="100">
        <v>95</v>
      </c>
      <c r="C110" s="100">
        <v>89</v>
      </c>
      <c r="D110" s="100">
        <v>112</v>
      </c>
      <c r="E110" s="100">
        <v>103</v>
      </c>
      <c r="F110" s="100">
        <v>115</v>
      </c>
      <c r="G110" s="100">
        <v>104</v>
      </c>
      <c r="H110" s="100">
        <v>86</v>
      </c>
      <c r="I110" s="100">
        <v>704</v>
      </c>
      <c r="J110" s="36"/>
      <c r="K110" s="36"/>
    </row>
    <row r="111" spans="1:11" ht="15.75" customHeight="1" x14ac:dyDescent="0.25">
      <c r="A111" s="100" t="s">
        <v>85</v>
      </c>
      <c r="B111" s="100">
        <v>100</v>
      </c>
      <c r="C111" s="100">
        <v>125</v>
      </c>
      <c r="D111" s="100">
        <v>146</v>
      </c>
      <c r="E111" s="100">
        <v>223</v>
      </c>
      <c r="F111" s="100">
        <v>273</v>
      </c>
      <c r="G111" s="100">
        <v>163</v>
      </c>
      <c r="H111" s="100">
        <v>145</v>
      </c>
      <c r="I111" s="253">
        <v>1175</v>
      </c>
      <c r="J111" s="36"/>
      <c r="K111" s="36"/>
    </row>
    <row r="112" spans="1:11" ht="15.75" customHeight="1" x14ac:dyDescent="0.25">
      <c r="A112" s="100" t="s">
        <v>83</v>
      </c>
      <c r="B112" s="100">
        <v>427</v>
      </c>
      <c r="C112" s="100">
        <v>449</v>
      </c>
      <c r="D112" s="100">
        <v>383</v>
      </c>
      <c r="E112" s="100">
        <v>518</v>
      </c>
      <c r="F112" s="100">
        <v>392</v>
      </c>
      <c r="G112" s="100">
        <v>408</v>
      </c>
      <c r="H112" s="100">
        <v>429</v>
      </c>
      <c r="I112" s="253">
        <v>3006</v>
      </c>
      <c r="J112" s="36"/>
      <c r="K112" s="36"/>
    </row>
    <row r="113" spans="1:11" ht="15.75" customHeight="1" x14ac:dyDescent="0.25">
      <c r="A113" s="100" t="s">
        <v>86</v>
      </c>
      <c r="B113" s="100">
        <v>102</v>
      </c>
      <c r="C113" s="100">
        <v>168</v>
      </c>
      <c r="D113" s="100">
        <v>117</v>
      </c>
      <c r="E113" s="100">
        <v>158</v>
      </c>
      <c r="F113" s="100">
        <v>143</v>
      </c>
      <c r="G113" s="100">
        <v>158</v>
      </c>
      <c r="H113" s="100">
        <v>102</v>
      </c>
      <c r="I113" s="100">
        <v>948</v>
      </c>
      <c r="J113" s="36"/>
      <c r="K113" s="36"/>
    </row>
    <row r="114" spans="1:11" ht="15.75" customHeight="1" x14ac:dyDescent="0.25">
      <c r="A114" s="100" t="s">
        <v>105</v>
      </c>
      <c r="B114" s="100">
        <v>116</v>
      </c>
      <c r="C114" s="100">
        <v>108</v>
      </c>
      <c r="D114" s="100">
        <v>121</v>
      </c>
      <c r="E114" s="100">
        <v>108</v>
      </c>
      <c r="F114" s="100">
        <v>75</v>
      </c>
      <c r="G114" s="100">
        <v>59</v>
      </c>
      <c r="H114" s="259" t="s">
        <v>142</v>
      </c>
      <c r="I114" s="100">
        <v>587</v>
      </c>
      <c r="J114" s="36"/>
      <c r="K114" s="36"/>
    </row>
    <row r="115" spans="1:11" ht="15.75" customHeight="1" x14ac:dyDescent="0.25">
      <c r="A115" s="100" t="s">
        <v>106</v>
      </c>
      <c r="B115" s="100">
        <v>35</v>
      </c>
      <c r="C115" s="100">
        <v>69</v>
      </c>
      <c r="D115" s="100">
        <v>75</v>
      </c>
      <c r="E115" s="100">
        <v>69</v>
      </c>
      <c r="F115" s="100">
        <v>74</v>
      </c>
      <c r="G115" s="100">
        <v>62</v>
      </c>
      <c r="H115" s="100">
        <v>81</v>
      </c>
      <c r="I115" s="100">
        <v>465</v>
      </c>
      <c r="J115" s="36"/>
      <c r="K115" s="36"/>
    </row>
    <row r="116" spans="1:11" ht="15.75" customHeight="1" x14ac:dyDescent="0.25">
      <c r="A116" s="100" t="s">
        <v>107</v>
      </c>
      <c r="B116" s="100">
        <v>50</v>
      </c>
      <c r="C116" s="100">
        <v>40</v>
      </c>
      <c r="D116" s="100">
        <v>28</v>
      </c>
      <c r="E116" s="100">
        <v>41</v>
      </c>
      <c r="F116" s="259" t="s">
        <v>143</v>
      </c>
      <c r="G116" s="100">
        <v>90</v>
      </c>
      <c r="H116" s="100">
        <v>21</v>
      </c>
      <c r="I116" s="100">
        <v>270</v>
      </c>
      <c r="J116" s="36"/>
      <c r="K116" s="36"/>
    </row>
    <row r="117" spans="1:11" ht="15.75" customHeight="1" x14ac:dyDescent="0.25">
      <c r="A117" s="100" t="s">
        <v>108</v>
      </c>
      <c r="B117" s="100" t="s">
        <v>100</v>
      </c>
      <c r="C117" s="100" t="s">
        <v>100</v>
      </c>
      <c r="D117" s="247" t="s">
        <v>100</v>
      </c>
      <c r="E117" s="248" t="s">
        <v>100</v>
      </c>
      <c r="F117" s="100" t="s">
        <v>100</v>
      </c>
      <c r="G117" s="100" t="s">
        <v>100</v>
      </c>
      <c r="H117" s="100" t="s">
        <v>100</v>
      </c>
      <c r="I117" s="100" t="s">
        <v>100</v>
      </c>
      <c r="J117" s="36"/>
      <c r="K117" s="36"/>
    </row>
    <row r="118" spans="1:11" ht="15.75" customHeight="1" x14ac:dyDescent="0.25">
      <c r="A118" s="100"/>
      <c r="B118" s="100"/>
      <c r="C118" s="100"/>
      <c r="D118" s="247"/>
      <c r="E118" s="248"/>
      <c r="F118" s="100"/>
      <c r="G118" s="100"/>
      <c r="H118" s="254" t="s">
        <v>74</v>
      </c>
      <c r="I118" s="255">
        <f>SUM(I100:I117)</f>
        <v>25464</v>
      </c>
      <c r="J118" s="36"/>
      <c r="K118" s="36"/>
    </row>
    <row r="119" spans="1:11" ht="15.75" customHeight="1" x14ac:dyDescent="0.25">
      <c r="A119" s="100"/>
      <c r="B119" s="100"/>
      <c r="C119" s="100"/>
      <c r="D119" s="247"/>
      <c r="E119" s="248"/>
      <c r="F119" s="100"/>
      <c r="G119" s="100"/>
      <c r="H119" s="100"/>
      <c r="I119" s="100"/>
      <c r="J119" s="36"/>
      <c r="K119" s="36"/>
    </row>
    <row r="120" spans="1:11" ht="15.75" customHeight="1" x14ac:dyDescent="0.25">
      <c r="A120" s="36"/>
      <c r="B120" s="257"/>
      <c r="C120" s="257"/>
      <c r="D120" s="257"/>
      <c r="E120" s="257"/>
      <c r="F120" s="257"/>
      <c r="G120" s="257"/>
      <c r="H120" s="257"/>
      <c r="I120" s="257"/>
      <c r="J120" s="36"/>
      <c r="K120" s="36"/>
    </row>
    <row r="121" spans="1:11" ht="15.75" customHeight="1" x14ac:dyDescent="0.25">
      <c r="A121" s="100"/>
      <c r="B121" s="100"/>
      <c r="C121" s="287" t="s">
        <v>144</v>
      </c>
      <c r="D121" s="289"/>
      <c r="E121" s="289"/>
      <c r="F121" s="289"/>
      <c r="G121" s="289"/>
      <c r="H121" s="289"/>
      <c r="I121" s="100"/>
      <c r="J121" s="36"/>
      <c r="K121" s="36"/>
    </row>
    <row r="122" spans="1:11" ht="15.75" customHeight="1" x14ac:dyDescent="0.25">
      <c r="A122" s="36"/>
      <c r="B122" s="257"/>
      <c r="C122" s="257"/>
      <c r="D122" s="257"/>
      <c r="E122" s="257"/>
      <c r="F122" s="257"/>
      <c r="G122" s="257"/>
      <c r="H122" s="257"/>
      <c r="I122" s="257"/>
      <c r="J122" s="36"/>
      <c r="K122" s="36"/>
    </row>
    <row r="123" spans="1:11" ht="15.75" customHeight="1" x14ac:dyDescent="0.2">
      <c r="A123" s="249" t="s">
        <v>92</v>
      </c>
      <c r="B123" s="250" t="s">
        <v>145</v>
      </c>
      <c r="C123" s="250" t="s">
        <v>146</v>
      </c>
      <c r="D123" s="251" t="s">
        <v>147</v>
      </c>
      <c r="E123" s="252" t="s">
        <v>148</v>
      </c>
      <c r="F123" s="250" t="s">
        <v>149</v>
      </c>
      <c r="G123" s="250" t="s">
        <v>150</v>
      </c>
      <c r="H123" s="250" t="s">
        <v>151</v>
      </c>
      <c r="I123" s="249" t="s">
        <v>74</v>
      </c>
      <c r="J123" s="36"/>
      <c r="K123" s="36"/>
    </row>
    <row r="124" spans="1:11" ht="15.75" customHeight="1" x14ac:dyDescent="0.25">
      <c r="A124" s="100" t="s">
        <v>28</v>
      </c>
      <c r="B124" s="100">
        <v>297</v>
      </c>
      <c r="C124" s="100">
        <v>314</v>
      </c>
      <c r="D124" s="100">
        <v>294</v>
      </c>
      <c r="E124" s="100">
        <v>290</v>
      </c>
      <c r="F124" s="100">
        <v>289</v>
      </c>
      <c r="G124" s="100">
        <v>321</v>
      </c>
      <c r="H124" s="100">
        <v>260</v>
      </c>
      <c r="I124" s="253"/>
      <c r="J124" s="36"/>
      <c r="K124" s="36"/>
    </row>
    <row r="125" spans="1:11" ht="15.75" customHeight="1" x14ac:dyDescent="0.25">
      <c r="A125" s="100" t="s">
        <v>47</v>
      </c>
      <c r="B125" s="100">
        <v>201</v>
      </c>
      <c r="C125" s="100">
        <v>217</v>
      </c>
      <c r="D125" s="100">
        <v>177</v>
      </c>
      <c r="E125" s="100">
        <v>208</v>
      </c>
      <c r="F125" s="100">
        <v>153</v>
      </c>
      <c r="G125" s="100">
        <v>222</v>
      </c>
      <c r="H125" s="100">
        <v>213</v>
      </c>
      <c r="I125" s="253"/>
      <c r="J125" s="36"/>
      <c r="K125" s="36"/>
    </row>
    <row r="126" spans="1:11" ht="15.75" customHeight="1" x14ac:dyDescent="0.25">
      <c r="A126" s="100" t="s">
        <v>82</v>
      </c>
      <c r="B126" s="100">
        <v>120</v>
      </c>
      <c r="C126" s="100">
        <v>91</v>
      </c>
      <c r="D126" s="100">
        <v>47</v>
      </c>
      <c r="E126" s="100">
        <v>62</v>
      </c>
      <c r="F126" s="100">
        <v>113</v>
      </c>
      <c r="G126" s="100">
        <v>156</v>
      </c>
      <c r="H126" s="100">
        <v>217</v>
      </c>
      <c r="I126" s="100"/>
      <c r="J126" s="36"/>
      <c r="K126" s="36"/>
    </row>
    <row r="127" spans="1:11" ht="15.75" customHeight="1" x14ac:dyDescent="0.25">
      <c r="A127" s="100" t="s">
        <v>101</v>
      </c>
      <c r="B127" s="100">
        <v>147</v>
      </c>
      <c r="C127" s="100">
        <v>147</v>
      </c>
      <c r="D127" s="100">
        <v>153</v>
      </c>
      <c r="E127" s="100">
        <v>151</v>
      </c>
      <c r="F127" s="100">
        <v>137</v>
      </c>
      <c r="G127" s="100">
        <v>258</v>
      </c>
      <c r="H127" s="100">
        <v>187</v>
      </c>
      <c r="I127" s="253"/>
      <c r="J127" s="36"/>
      <c r="K127" s="36"/>
    </row>
    <row r="128" spans="1:11" ht="15.75" customHeight="1" x14ac:dyDescent="0.25">
      <c r="A128" s="100" t="s">
        <v>102</v>
      </c>
      <c r="B128" s="100">
        <v>73</v>
      </c>
      <c r="C128" s="100">
        <v>76</v>
      </c>
      <c r="D128" s="100">
        <v>80</v>
      </c>
      <c r="E128" s="100">
        <v>64</v>
      </c>
      <c r="F128" s="100">
        <v>83</v>
      </c>
      <c r="G128" s="100">
        <v>123</v>
      </c>
      <c r="H128" s="100">
        <v>127</v>
      </c>
      <c r="I128" s="100"/>
      <c r="J128" s="36"/>
      <c r="K128" s="36"/>
    </row>
    <row r="129" spans="1:13" ht="15.75" customHeight="1" x14ac:dyDescent="0.25">
      <c r="A129" s="100" t="s">
        <v>15</v>
      </c>
      <c r="B129" s="100">
        <v>248</v>
      </c>
      <c r="C129" s="100">
        <v>214</v>
      </c>
      <c r="D129" s="100">
        <v>214</v>
      </c>
      <c r="E129" s="100">
        <v>201</v>
      </c>
      <c r="F129" s="100">
        <v>262</v>
      </c>
      <c r="G129" s="100">
        <v>423</v>
      </c>
      <c r="H129" s="100">
        <v>279</v>
      </c>
      <c r="I129" s="253"/>
      <c r="J129" s="36"/>
      <c r="K129" s="36"/>
    </row>
    <row r="130" spans="1:13" ht="15.75" customHeight="1" x14ac:dyDescent="0.25">
      <c r="A130" s="100" t="s">
        <v>81</v>
      </c>
      <c r="B130" s="100">
        <v>203</v>
      </c>
      <c r="C130" s="100">
        <v>236</v>
      </c>
      <c r="D130" s="100">
        <v>280</v>
      </c>
      <c r="E130" s="100">
        <v>277</v>
      </c>
      <c r="F130" s="100">
        <v>274</v>
      </c>
      <c r="G130" s="100">
        <v>482</v>
      </c>
      <c r="H130" s="100">
        <v>362</v>
      </c>
      <c r="I130" s="253"/>
      <c r="J130" s="36"/>
      <c r="K130" s="36"/>
      <c r="M130" s="3" t="s">
        <v>152</v>
      </c>
    </row>
    <row r="131" spans="1:13" ht="15.75" customHeight="1" x14ac:dyDescent="0.25">
      <c r="A131" s="100" t="s">
        <v>63</v>
      </c>
      <c r="B131" s="100">
        <v>220</v>
      </c>
      <c r="C131" s="100">
        <v>261</v>
      </c>
      <c r="D131" s="100">
        <v>272</v>
      </c>
      <c r="E131" s="100">
        <v>267</v>
      </c>
      <c r="F131" s="100">
        <v>248</v>
      </c>
      <c r="G131" s="100">
        <v>357</v>
      </c>
      <c r="H131" s="100">
        <v>370</v>
      </c>
      <c r="I131" s="253"/>
      <c r="J131" s="36"/>
      <c r="K131" s="36"/>
    </row>
    <row r="132" spans="1:13" ht="15.75" customHeight="1" x14ac:dyDescent="0.25">
      <c r="A132" s="100" t="s">
        <v>103</v>
      </c>
      <c r="B132" s="100">
        <v>157</v>
      </c>
      <c r="C132" s="100">
        <v>198</v>
      </c>
      <c r="D132" s="100">
        <v>206</v>
      </c>
      <c r="E132" s="100">
        <v>249</v>
      </c>
      <c r="F132" s="100">
        <v>202</v>
      </c>
      <c r="G132" s="100">
        <v>236</v>
      </c>
      <c r="H132" s="100">
        <v>194</v>
      </c>
      <c r="I132" s="253"/>
      <c r="J132" s="36"/>
      <c r="K132" s="36"/>
    </row>
    <row r="133" spans="1:13" ht="15.75" customHeight="1" x14ac:dyDescent="0.25">
      <c r="A133" s="100" t="s">
        <v>84</v>
      </c>
      <c r="B133" s="100">
        <v>203</v>
      </c>
      <c r="C133" s="100">
        <v>236</v>
      </c>
      <c r="D133" s="100">
        <v>280</v>
      </c>
      <c r="E133" s="100">
        <v>277</v>
      </c>
      <c r="F133" s="100">
        <v>274</v>
      </c>
      <c r="G133" s="100">
        <v>482</v>
      </c>
      <c r="H133" s="100">
        <v>362</v>
      </c>
      <c r="I133" s="253"/>
      <c r="J133" s="36"/>
      <c r="K133" s="36"/>
    </row>
    <row r="134" spans="1:13" ht="15.75" customHeight="1" x14ac:dyDescent="0.25">
      <c r="A134" s="100" t="s">
        <v>104</v>
      </c>
      <c r="B134" s="100">
        <v>112</v>
      </c>
      <c r="C134" s="100">
        <v>77</v>
      </c>
      <c r="D134" s="100">
        <v>92</v>
      </c>
      <c r="E134" s="100">
        <v>97</v>
      </c>
      <c r="F134" s="100">
        <v>91</v>
      </c>
      <c r="G134" s="100">
        <v>123</v>
      </c>
      <c r="H134" s="100">
        <v>76</v>
      </c>
      <c r="I134" s="100"/>
      <c r="J134" s="36"/>
      <c r="K134" s="36"/>
    </row>
    <row r="135" spans="1:13" ht="15.75" customHeight="1" x14ac:dyDescent="0.25">
      <c r="A135" s="100" t="s">
        <v>85</v>
      </c>
      <c r="B135" s="100">
        <v>109</v>
      </c>
      <c r="C135" s="100">
        <v>132</v>
      </c>
      <c r="D135" s="100">
        <v>136</v>
      </c>
      <c r="E135" s="100">
        <v>186</v>
      </c>
      <c r="F135" s="100">
        <v>147</v>
      </c>
      <c r="G135" s="100">
        <v>136</v>
      </c>
      <c r="H135" s="100">
        <v>84</v>
      </c>
      <c r="I135" s="253"/>
      <c r="J135" s="36"/>
      <c r="K135" s="36"/>
    </row>
    <row r="136" spans="1:13" ht="15.75" customHeight="1" x14ac:dyDescent="0.25">
      <c r="A136" s="100" t="s">
        <v>83</v>
      </c>
      <c r="B136" s="100">
        <v>261</v>
      </c>
      <c r="C136" s="100">
        <v>329</v>
      </c>
      <c r="D136" s="100">
        <v>281</v>
      </c>
      <c r="E136" s="100">
        <v>330</v>
      </c>
      <c r="F136" s="100">
        <v>396</v>
      </c>
      <c r="G136" s="100">
        <v>529</v>
      </c>
      <c r="H136" s="100">
        <v>356</v>
      </c>
      <c r="I136" s="253"/>
      <c r="J136" s="36"/>
      <c r="K136" s="36"/>
    </row>
    <row r="137" spans="1:13" ht="15.75" customHeight="1" x14ac:dyDescent="0.25">
      <c r="A137" s="100" t="s">
        <v>86</v>
      </c>
      <c r="B137" s="100">
        <v>88</v>
      </c>
      <c r="C137" s="100">
        <v>120</v>
      </c>
      <c r="D137" s="100">
        <v>86</v>
      </c>
      <c r="E137" s="100">
        <v>83</v>
      </c>
      <c r="F137" s="100">
        <v>83</v>
      </c>
      <c r="G137" s="100">
        <v>80</v>
      </c>
      <c r="H137" s="100">
        <v>94</v>
      </c>
      <c r="I137" s="100"/>
      <c r="J137" s="36"/>
      <c r="K137" s="36"/>
    </row>
    <row r="138" spans="1:13" ht="15.75" customHeight="1" x14ac:dyDescent="0.25">
      <c r="A138" s="100" t="s">
        <v>105</v>
      </c>
      <c r="B138" s="100">
        <v>132</v>
      </c>
      <c r="C138" s="100">
        <v>113</v>
      </c>
      <c r="D138" s="100">
        <v>116</v>
      </c>
      <c r="E138" s="100">
        <v>120</v>
      </c>
      <c r="F138" s="100">
        <v>119</v>
      </c>
      <c r="G138" s="100">
        <v>152</v>
      </c>
      <c r="H138" s="259" t="s">
        <v>153</v>
      </c>
      <c r="I138" s="100"/>
      <c r="J138" s="36"/>
      <c r="K138" s="36"/>
    </row>
    <row r="139" spans="1:13" ht="15.75" customHeight="1" x14ac:dyDescent="0.25">
      <c r="A139" s="100" t="s">
        <v>106</v>
      </c>
      <c r="B139" s="259" t="s">
        <v>154</v>
      </c>
      <c r="C139" s="100">
        <v>46</v>
      </c>
      <c r="D139" s="100">
        <v>33</v>
      </c>
      <c r="E139" s="100">
        <v>37</v>
      </c>
      <c r="F139" s="100">
        <v>43</v>
      </c>
      <c r="G139" s="100">
        <v>48</v>
      </c>
      <c r="H139" s="100">
        <v>61</v>
      </c>
      <c r="I139" s="100"/>
      <c r="J139" s="36"/>
      <c r="K139" s="36"/>
    </row>
    <row r="140" spans="1:13" ht="15.75" customHeight="1" x14ac:dyDescent="0.25">
      <c r="A140" s="100" t="s">
        <v>107</v>
      </c>
      <c r="B140" s="100">
        <v>46</v>
      </c>
      <c r="C140" s="100">
        <v>52</v>
      </c>
      <c r="D140" s="100">
        <v>48</v>
      </c>
      <c r="E140" s="100">
        <v>32</v>
      </c>
      <c r="F140" s="100">
        <v>50</v>
      </c>
      <c r="G140" s="100">
        <v>72</v>
      </c>
      <c r="H140" s="259" t="s">
        <v>153</v>
      </c>
      <c r="I140" s="100"/>
      <c r="J140" s="36"/>
      <c r="K140" s="36"/>
    </row>
    <row r="141" spans="1:13" ht="15.75" customHeight="1" x14ac:dyDescent="0.25">
      <c r="A141" s="100" t="s">
        <v>108</v>
      </c>
      <c r="B141" s="100" t="s">
        <v>100</v>
      </c>
      <c r="C141" s="100" t="s">
        <v>100</v>
      </c>
      <c r="D141" s="247" t="s">
        <v>100</v>
      </c>
      <c r="E141" s="248" t="s">
        <v>100</v>
      </c>
      <c r="F141" s="100" t="s">
        <v>100</v>
      </c>
      <c r="G141" s="100" t="s">
        <v>100</v>
      </c>
      <c r="H141" s="100" t="s">
        <v>100</v>
      </c>
      <c r="I141" s="100"/>
      <c r="J141" s="36"/>
      <c r="K141" s="36"/>
    </row>
    <row r="142" spans="1:13" ht="15.75" customHeight="1" x14ac:dyDescent="0.25">
      <c r="A142" s="36"/>
      <c r="B142" s="257"/>
      <c r="C142" s="257"/>
      <c r="D142" s="257"/>
      <c r="E142" s="257"/>
      <c r="F142" s="257"/>
      <c r="G142" s="257"/>
      <c r="H142" s="254" t="s">
        <v>74</v>
      </c>
      <c r="I142" s="255">
        <f>SUM(I124:I141)</f>
        <v>0</v>
      </c>
      <c r="J142" s="36"/>
      <c r="K142" s="36"/>
    </row>
    <row r="143" spans="1:13" ht="15.75" customHeight="1" x14ac:dyDescent="0.25">
      <c r="A143" s="36"/>
      <c r="B143" s="257"/>
      <c r="C143" s="257"/>
      <c r="D143" s="257"/>
      <c r="E143" s="257"/>
      <c r="F143" s="257"/>
      <c r="G143" s="257"/>
      <c r="H143" s="257"/>
      <c r="I143" s="257"/>
      <c r="J143" s="36"/>
      <c r="K143" s="36"/>
    </row>
    <row r="144" spans="1:13" ht="15.75" customHeight="1" x14ac:dyDescent="0.25">
      <c r="A144" s="36"/>
      <c r="B144" s="257"/>
      <c r="C144" s="257"/>
      <c r="D144" s="257"/>
      <c r="E144" s="257"/>
      <c r="F144" s="257"/>
      <c r="G144" s="257"/>
      <c r="H144" s="257"/>
      <c r="I144" s="257"/>
      <c r="J144" s="36"/>
      <c r="K144" s="36"/>
    </row>
    <row r="145" spans="1:13" ht="15.75" customHeight="1" x14ac:dyDescent="0.25">
      <c r="A145" s="100"/>
      <c r="B145" s="100"/>
      <c r="C145" s="287" t="s">
        <v>155</v>
      </c>
      <c r="D145" s="289"/>
      <c r="E145" s="289"/>
      <c r="F145" s="289"/>
      <c r="G145" s="289"/>
      <c r="H145" s="289"/>
      <c r="I145" s="100"/>
      <c r="J145" s="260"/>
      <c r="K145" s="260"/>
      <c r="L145" s="2"/>
      <c r="M145" s="2"/>
    </row>
    <row r="146" spans="1:13" ht="15.75" customHeight="1" x14ac:dyDescent="0.25">
      <c r="A146" s="36"/>
      <c r="B146" s="257"/>
      <c r="C146" s="257"/>
      <c r="D146" s="257"/>
      <c r="E146" s="257"/>
      <c r="F146" s="257"/>
      <c r="G146" s="257"/>
      <c r="H146" s="257"/>
      <c r="I146" s="257"/>
      <c r="J146" s="36"/>
      <c r="K146" s="36"/>
    </row>
    <row r="147" spans="1:13" ht="15.75" customHeight="1" x14ac:dyDescent="0.25">
      <c r="A147" s="249" t="s">
        <v>92</v>
      </c>
      <c r="B147" s="250" t="s">
        <v>156</v>
      </c>
      <c r="C147" s="250" t="s">
        <v>157</v>
      </c>
      <c r="D147" s="251" t="s">
        <v>158</v>
      </c>
      <c r="E147" s="252" t="s">
        <v>159</v>
      </c>
      <c r="F147" s="250" t="s">
        <v>160</v>
      </c>
      <c r="G147" s="250" t="s">
        <v>161</v>
      </c>
      <c r="H147" s="250" t="s">
        <v>162</v>
      </c>
      <c r="I147" s="249" t="s">
        <v>74</v>
      </c>
      <c r="J147" s="260"/>
      <c r="K147" s="36"/>
    </row>
    <row r="148" spans="1:13" ht="15.75" customHeight="1" x14ac:dyDescent="0.25">
      <c r="A148" s="100" t="s">
        <v>28</v>
      </c>
      <c r="B148" s="100">
        <v>329</v>
      </c>
      <c r="C148" s="100">
        <v>344</v>
      </c>
      <c r="D148" s="100">
        <v>292</v>
      </c>
      <c r="E148" s="100">
        <v>315</v>
      </c>
      <c r="F148" s="100">
        <v>279</v>
      </c>
      <c r="G148" s="100">
        <v>372</v>
      </c>
      <c r="H148" s="100">
        <v>316</v>
      </c>
      <c r="I148" s="253">
        <v>2347</v>
      </c>
      <c r="J148" s="260"/>
      <c r="K148" s="36"/>
    </row>
    <row r="149" spans="1:13" ht="15.75" customHeight="1" x14ac:dyDescent="0.25">
      <c r="A149" s="100" t="s">
        <v>47</v>
      </c>
      <c r="B149" s="100">
        <v>213</v>
      </c>
      <c r="C149" s="100">
        <v>194</v>
      </c>
      <c r="D149" s="100">
        <v>232</v>
      </c>
      <c r="E149" s="100">
        <v>223</v>
      </c>
      <c r="F149" s="100">
        <v>261</v>
      </c>
      <c r="G149" s="100">
        <v>212</v>
      </c>
      <c r="H149" s="100">
        <v>224</v>
      </c>
      <c r="I149" s="253">
        <v>1559</v>
      </c>
      <c r="J149" s="260"/>
      <c r="K149" s="36"/>
    </row>
    <row r="150" spans="1:13" ht="15.75" customHeight="1" x14ac:dyDescent="0.25">
      <c r="A150" s="100" t="s">
        <v>82</v>
      </c>
      <c r="B150" s="100">
        <v>99</v>
      </c>
      <c r="C150" s="100">
        <v>84</v>
      </c>
      <c r="D150" s="100">
        <v>110</v>
      </c>
      <c r="E150" s="100">
        <v>167</v>
      </c>
      <c r="F150" s="100">
        <v>98</v>
      </c>
      <c r="G150" s="100">
        <v>188</v>
      </c>
      <c r="H150" s="100">
        <v>359</v>
      </c>
      <c r="I150" s="100">
        <v>1105</v>
      </c>
      <c r="J150" s="260"/>
      <c r="K150" s="36"/>
    </row>
    <row r="151" spans="1:13" ht="15.75" customHeight="1" x14ac:dyDescent="0.25">
      <c r="A151" s="100" t="s">
        <v>101</v>
      </c>
      <c r="B151" s="100">
        <v>151</v>
      </c>
      <c r="C151" s="100">
        <v>179</v>
      </c>
      <c r="D151" s="100">
        <v>154</v>
      </c>
      <c r="E151" s="100">
        <v>198</v>
      </c>
      <c r="F151" s="100">
        <v>179</v>
      </c>
      <c r="G151" s="100">
        <v>292</v>
      </c>
      <c r="H151" s="100">
        <v>263</v>
      </c>
      <c r="I151" s="253">
        <v>1416</v>
      </c>
      <c r="J151" s="260"/>
      <c r="K151" s="36"/>
    </row>
    <row r="152" spans="1:13" ht="15.75" customHeight="1" x14ac:dyDescent="0.25">
      <c r="A152" s="100" t="s">
        <v>102</v>
      </c>
      <c r="B152" s="100">
        <v>83</v>
      </c>
      <c r="C152" s="100">
        <v>78</v>
      </c>
      <c r="D152" s="100">
        <v>63</v>
      </c>
      <c r="E152" s="100">
        <v>78</v>
      </c>
      <c r="F152" s="100">
        <v>85</v>
      </c>
      <c r="G152" s="100">
        <v>104</v>
      </c>
      <c r="H152" s="100">
        <v>108</v>
      </c>
      <c r="I152" s="100">
        <v>599</v>
      </c>
      <c r="J152" s="260"/>
      <c r="K152" s="36"/>
    </row>
    <row r="153" spans="1:13" ht="15.75" customHeight="1" x14ac:dyDescent="0.25">
      <c r="A153" s="100" t="s">
        <v>15</v>
      </c>
      <c r="B153" s="100">
        <v>210</v>
      </c>
      <c r="C153" s="100">
        <v>206</v>
      </c>
      <c r="D153" s="100">
        <v>218</v>
      </c>
      <c r="E153" s="100">
        <v>261</v>
      </c>
      <c r="F153" s="100">
        <v>332</v>
      </c>
      <c r="G153" s="100">
        <v>425</v>
      </c>
      <c r="H153" s="100">
        <v>357</v>
      </c>
      <c r="I153" s="253">
        <v>2009</v>
      </c>
      <c r="J153" s="260"/>
      <c r="K153" s="36"/>
    </row>
    <row r="154" spans="1:13" ht="15.75" customHeight="1" x14ac:dyDescent="0.25">
      <c r="A154" s="100" t="s">
        <v>81</v>
      </c>
      <c r="B154" s="100">
        <v>310</v>
      </c>
      <c r="C154" s="100">
        <v>218</v>
      </c>
      <c r="D154" s="100">
        <v>184</v>
      </c>
      <c r="E154" s="100">
        <v>256</v>
      </c>
      <c r="F154" s="100">
        <v>298</v>
      </c>
      <c r="G154" s="100">
        <v>357</v>
      </c>
      <c r="H154" s="100">
        <v>471</v>
      </c>
      <c r="I154" s="253">
        <v>2094</v>
      </c>
      <c r="J154" s="260"/>
      <c r="K154" s="36"/>
    </row>
    <row r="155" spans="1:13" ht="15.75" customHeight="1" x14ac:dyDescent="0.25">
      <c r="A155" s="100" t="s">
        <v>63</v>
      </c>
      <c r="B155" s="100">
        <v>234</v>
      </c>
      <c r="C155" s="100">
        <v>222</v>
      </c>
      <c r="D155" s="100">
        <v>241</v>
      </c>
      <c r="E155" s="100">
        <v>258</v>
      </c>
      <c r="F155" s="100">
        <v>289</v>
      </c>
      <c r="G155" s="100">
        <v>447</v>
      </c>
      <c r="H155" s="100">
        <v>745</v>
      </c>
      <c r="I155" s="253">
        <v>2436</v>
      </c>
      <c r="J155" s="260"/>
      <c r="K155" s="36"/>
    </row>
    <row r="156" spans="1:13" ht="15.75" customHeight="1" x14ac:dyDescent="0.25">
      <c r="A156" s="100" t="s">
        <v>103</v>
      </c>
      <c r="B156" s="100">
        <v>162</v>
      </c>
      <c r="C156" s="100">
        <v>180</v>
      </c>
      <c r="D156" s="100">
        <v>170</v>
      </c>
      <c r="E156" s="100">
        <v>269</v>
      </c>
      <c r="F156" s="100">
        <v>228</v>
      </c>
      <c r="G156" s="100">
        <v>343</v>
      </c>
      <c r="H156" s="100">
        <v>301</v>
      </c>
      <c r="I156" s="253">
        <v>1653</v>
      </c>
      <c r="J156" s="260"/>
      <c r="K156" s="36"/>
    </row>
    <row r="157" spans="1:13" ht="15.75" customHeight="1" x14ac:dyDescent="0.25">
      <c r="A157" s="100" t="s">
        <v>84</v>
      </c>
      <c r="B157" s="100">
        <v>358</v>
      </c>
      <c r="C157" s="100">
        <v>422</v>
      </c>
      <c r="D157" s="100">
        <v>387</v>
      </c>
      <c r="E157" s="100">
        <v>312</v>
      </c>
      <c r="F157" s="100">
        <v>486</v>
      </c>
      <c r="G157" s="100">
        <v>465</v>
      </c>
      <c r="H157" s="100">
        <v>377</v>
      </c>
      <c r="I157" s="253">
        <v>2807</v>
      </c>
      <c r="J157" s="260"/>
      <c r="K157" s="36"/>
    </row>
    <row r="158" spans="1:13" ht="15.75" customHeight="1" x14ac:dyDescent="0.25">
      <c r="A158" s="100" t="s">
        <v>104</v>
      </c>
      <c r="B158" s="100">
        <v>83</v>
      </c>
      <c r="C158" s="100">
        <v>87</v>
      </c>
      <c r="D158" s="100">
        <v>100</v>
      </c>
      <c r="E158" s="100">
        <v>116</v>
      </c>
      <c r="F158" s="100">
        <v>119</v>
      </c>
      <c r="G158" s="100">
        <v>102</v>
      </c>
      <c r="H158" s="100">
        <v>97</v>
      </c>
      <c r="I158" s="100">
        <v>704</v>
      </c>
      <c r="J158" s="260"/>
      <c r="K158" s="36"/>
    </row>
    <row r="159" spans="1:13" ht="15.75" customHeight="1" x14ac:dyDescent="0.25">
      <c r="A159" s="100" t="s">
        <v>85</v>
      </c>
      <c r="B159" s="100">
        <v>130</v>
      </c>
      <c r="C159" s="100">
        <v>120</v>
      </c>
      <c r="D159" s="100">
        <v>138</v>
      </c>
      <c r="E159" s="100">
        <v>150</v>
      </c>
      <c r="F159" s="100">
        <v>184</v>
      </c>
      <c r="G159" s="100">
        <v>186</v>
      </c>
      <c r="H159" s="100">
        <v>194</v>
      </c>
      <c r="I159" s="253">
        <v>1102</v>
      </c>
      <c r="J159" s="260"/>
      <c r="K159" s="36"/>
    </row>
    <row r="160" spans="1:13" ht="15.75" customHeight="1" x14ac:dyDescent="0.25">
      <c r="A160" s="100" t="s">
        <v>83</v>
      </c>
      <c r="B160" s="100">
        <v>193</v>
      </c>
      <c r="C160" s="100">
        <v>383</v>
      </c>
      <c r="D160" s="100">
        <v>369</v>
      </c>
      <c r="E160" s="100">
        <v>360</v>
      </c>
      <c r="F160" s="100">
        <v>446</v>
      </c>
      <c r="G160" s="100">
        <v>477</v>
      </c>
      <c r="H160" s="100">
        <v>452</v>
      </c>
      <c r="I160" s="253">
        <v>2679</v>
      </c>
      <c r="J160" s="260"/>
      <c r="K160" s="36"/>
    </row>
    <row r="161" spans="1:13" ht="15.75" customHeight="1" x14ac:dyDescent="0.25">
      <c r="A161" s="100" t="s">
        <v>86</v>
      </c>
      <c r="B161" s="100">
        <v>59</v>
      </c>
      <c r="C161" s="100">
        <v>66</v>
      </c>
      <c r="D161" s="100">
        <v>82</v>
      </c>
      <c r="E161" s="100">
        <v>95</v>
      </c>
      <c r="F161" s="100">
        <v>89</v>
      </c>
      <c r="G161" s="100">
        <v>88</v>
      </c>
      <c r="H161" s="100">
        <v>87</v>
      </c>
      <c r="I161" s="100">
        <v>566</v>
      </c>
      <c r="J161" s="260"/>
      <c r="K161" s="36"/>
    </row>
    <row r="162" spans="1:13" ht="15.75" customHeight="1" x14ac:dyDescent="0.25">
      <c r="A162" s="100" t="s">
        <v>105</v>
      </c>
      <c r="B162" s="100">
        <v>98</v>
      </c>
      <c r="C162" s="100">
        <v>114</v>
      </c>
      <c r="D162" s="100">
        <v>132</v>
      </c>
      <c r="E162" s="100">
        <v>118</v>
      </c>
      <c r="F162" s="100">
        <v>115</v>
      </c>
      <c r="G162" s="100">
        <v>137</v>
      </c>
      <c r="H162" s="259" t="s">
        <v>142</v>
      </c>
      <c r="I162" s="100">
        <v>714</v>
      </c>
      <c r="J162" s="260"/>
      <c r="K162" s="36"/>
    </row>
    <row r="163" spans="1:13" ht="15.75" customHeight="1" x14ac:dyDescent="0.25">
      <c r="A163" s="100" t="s">
        <v>106</v>
      </c>
      <c r="B163" s="100">
        <v>42</v>
      </c>
      <c r="C163" s="100">
        <v>44</v>
      </c>
      <c r="D163" s="100">
        <v>37</v>
      </c>
      <c r="E163" s="100">
        <v>65</v>
      </c>
      <c r="F163" s="100">
        <v>76</v>
      </c>
      <c r="G163" s="100">
        <v>64</v>
      </c>
      <c r="H163" s="100">
        <v>100</v>
      </c>
      <c r="I163" s="100">
        <v>428</v>
      </c>
      <c r="J163" s="260"/>
      <c r="K163" s="36"/>
    </row>
    <row r="164" spans="1:13" ht="15.75" customHeight="1" x14ac:dyDescent="0.25">
      <c r="A164" s="100" t="s">
        <v>107</v>
      </c>
      <c r="B164" s="100">
        <v>44</v>
      </c>
      <c r="C164" s="100">
        <v>40</v>
      </c>
      <c r="D164" s="100">
        <v>32</v>
      </c>
      <c r="E164" s="100">
        <v>46</v>
      </c>
      <c r="F164" s="100">
        <v>46</v>
      </c>
      <c r="G164" s="100">
        <v>70</v>
      </c>
      <c r="H164" s="259" t="s">
        <v>142</v>
      </c>
      <c r="I164" s="100">
        <v>278</v>
      </c>
      <c r="J164" s="260"/>
      <c r="K164" s="36"/>
    </row>
    <row r="165" spans="1:13" ht="15.75" customHeight="1" x14ac:dyDescent="0.25">
      <c r="A165" s="100" t="s">
        <v>108</v>
      </c>
      <c r="B165" s="259" t="s">
        <v>100</v>
      </c>
      <c r="C165" s="259" t="s">
        <v>100</v>
      </c>
      <c r="D165" s="259" t="s">
        <v>100</v>
      </c>
      <c r="E165" s="259" t="s">
        <v>100</v>
      </c>
      <c r="F165" s="259" t="s">
        <v>100</v>
      </c>
      <c r="G165" s="259" t="s">
        <v>100</v>
      </c>
      <c r="H165" s="259" t="s">
        <v>100</v>
      </c>
      <c r="I165" s="259" t="s">
        <v>100</v>
      </c>
      <c r="J165" s="260"/>
      <c r="K165" s="36"/>
    </row>
    <row r="166" spans="1:13" ht="15.75" customHeight="1" x14ac:dyDescent="0.25">
      <c r="A166" s="100"/>
      <c r="B166" s="100"/>
      <c r="C166" s="100"/>
      <c r="D166" s="247"/>
      <c r="E166" s="248"/>
      <c r="F166" s="100"/>
      <c r="G166" s="100"/>
      <c r="H166" s="254" t="s">
        <v>74</v>
      </c>
      <c r="I166" s="255">
        <f>SUM(I148:I165)</f>
        <v>24496</v>
      </c>
      <c r="J166" s="260"/>
      <c r="K166" s="36"/>
    </row>
    <row r="167" spans="1:13" ht="15.75" customHeight="1" x14ac:dyDescent="0.25">
      <c r="A167" s="36"/>
      <c r="B167" s="257"/>
      <c r="C167" s="257"/>
      <c r="D167" s="257"/>
      <c r="E167" s="257"/>
      <c r="F167" s="257"/>
      <c r="G167" s="257"/>
      <c r="H167" s="257"/>
      <c r="I167" s="257"/>
      <c r="J167" s="36"/>
      <c r="K167" s="36"/>
    </row>
    <row r="168" spans="1:13" ht="15.75" customHeight="1" x14ac:dyDescent="0.25">
      <c r="A168" s="100"/>
      <c r="B168" s="100"/>
      <c r="C168" s="287" t="s">
        <v>163</v>
      </c>
      <c r="D168" s="289"/>
      <c r="E168" s="289"/>
      <c r="F168" s="289"/>
      <c r="G168" s="289"/>
      <c r="H168" s="289"/>
      <c r="I168" s="100"/>
      <c r="J168" s="260"/>
      <c r="K168" s="260"/>
      <c r="L168" s="2"/>
      <c r="M168" s="2"/>
    </row>
    <row r="169" spans="1:13" ht="15.75" customHeight="1" x14ac:dyDescent="0.25">
      <c r="A169" s="36"/>
      <c r="B169" s="257"/>
      <c r="C169" s="257"/>
      <c r="D169" s="257"/>
      <c r="E169" s="257"/>
      <c r="F169" s="257"/>
      <c r="G169" s="257"/>
      <c r="H169" s="257"/>
      <c r="I169" s="257"/>
      <c r="J169" s="36"/>
      <c r="K169" s="36"/>
    </row>
    <row r="170" spans="1:13" ht="15.75" customHeight="1" x14ac:dyDescent="0.2">
      <c r="A170" s="249" t="s">
        <v>92</v>
      </c>
      <c r="B170" s="250" t="s">
        <v>164</v>
      </c>
      <c r="C170" s="250" t="s">
        <v>165</v>
      </c>
      <c r="D170" s="251" t="s">
        <v>166</v>
      </c>
      <c r="E170" s="252" t="s">
        <v>167</v>
      </c>
      <c r="F170" s="250" t="s">
        <v>168</v>
      </c>
      <c r="G170" s="250" t="s">
        <v>169</v>
      </c>
      <c r="H170" s="250" t="s">
        <v>170</v>
      </c>
      <c r="I170" s="249" t="s">
        <v>74</v>
      </c>
      <c r="J170" s="36"/>
      <c r="K170" s="36"/>
    </row>
    <row r="171" spans="1:13" ht="15.75" customHeight="1" x14ac:dyDescent="0.25">
      <c r="A171" s="100" t="s">
        <v>28</v>
      </c>
      <c r="B171" s="100">
        <v>281</v>
      </c>
      <c r="C171" s="100">
        <v>329</v>
      </c>
      <c r="D171" s="100">
        <v>331</v>
      </c>
      <c r="E171" s="100">
        <v>307</v>
      </c>
      <c r="F171" s="100">
        <v>306</v>
      </c>
      <c r="G171" s="100">
        <v>276</v>
      </c>
      <c r="H171" s="100">
        <v>440</v>
      </c>
      <c r="I171" s="253">
        <v>2270</v>
      </c>
      <c r="J171" s="36"/>
      <c r="K171" s="36"/>
    </row>
    <row r="172" spans="1:13" ht="15.75" customHeight="1" x14ac:dyDescent="0.25">
      <c r="A172" s="100" t="s">
        <v>47</v>
      </c>
      <c r="B172" s="100">
        <v>183</v>
      </c>
      <c r="C172" s="100">
        <v>187</v>
      </c>
      <c r="D172" s="100">
        <v>197</v>
      </c>
      <c r="E172" s="100">
        <v>193</v>
      </c>
      <c r="F172" s="100">
        <v>202</v>
      </c>
      <c r="G172" s="100">
        <v>221</v>
      </c>
      <c r="H172" s="100">
        <v>197</v>
      </c>
      <c r="I172" s="253">
        <v>1380</v>
      </c>
      <c r="J172" s="36"/>
      <c r="K172" s="36"/>
    </row>
    <row r="173" spans="1:13" ht="15.75" customHeight="1" x14ac:dyDescent="0.25">
      <c r="A173" s="100" t="s">
        <v>82</v>
      </c>
      <c r="B173" s="100">
        <v>88</v>
      </c>
      <c r="C173" s="100">
        <v>83</v>
      </c>
      <c r="D173" s="100">
        <v>83</v>
      </c>
      <c r="E173" s="100">
        <v>101</v>
      </c>
      <c r="F173" s="100">
        <v>156</v>
      </c>
      <c r="G173" s="100">
        <v>92</v>
      </c>
      <c r="H173" s="100">
        <v>269</v>
      </c>
      <c r="I173" s="100">
        <v>872</v>
      </c>
      <c r="J173" s="36"/>
      <c r="K173" s="36"/>
    </row>
    <row r="174" spans="1:13" ht="15.75" customHeight="1" x14ac:dyDescent="0.25">
      <c r="A174" s="100" t="s">
        <v>101</v>
      </c>
      <c r="B174" s="100">
        <v>187</v>
      </c>
      <c r="C174" s="100">
        <v>185</v>
      </c>
      <c r="D174" s="100">
        <v>175</v>
      </c>
      <c r="E174" s="100">
        <v>150</v>
      </c>
      <c r="F174" s="100">
        <v>189</v>
      </c>
      <c r="G174" s="100">
        <v>325</v>
      </c>
      <c r="H174" s="100">
        <v>202</v>
      </c>
      <c r="I174" s="253">
        <v>1413</v>
      </c>
      <c r="J174" s="36"/>
      <c r="K174" s="36"/>
    </row>
    <row r="175" spans="1:13" ht="15.75" customHeight="1" x14ac:dyDescent="0.25">
      <c r="A175" s="100" t="s">
        <v>102</v>
      </c>
      <c r="B175" s="100">
        <v>56</v>
      </c>
      <c r="C175" s="100">
        <v>69</v>
      </c>
      <c r="D175" s="100">
        <v>60</v>
      </c>
      <c r="E175" s="100">
        <v>69</v>
      </c>
      <c r="F175" s="100">
        <v>122</v>
      </c>
      <c r="G175" s="100">
        <v>108</v>
      </c>
      <c r="H175" s="100">
        <v>129</v>
      </c>
      <c r="I175" s="100">
        <v>603</v>
      </c>
      <c r="J175" s="36"/>
      <c r="K175" s="36"/>
    </row>
    <row r="176" spans="1:13" ht="15.75" customHeight="1" x14ac:dyDescent="0.25">
      <c r="A176" s="100" t="s">
        <v>15</v>
      </c>
      <c r="B176" s="100">
        <v>239</v>
      </c>
      <c r="C176" s="100">
        <v>285</v>
      </c>
      <c r="D176" s="100">
        <v>238</v>
      </c>
      <c r="E176" s="100">
        <v>365</v>
      </c>
      <c r="F176" s="100">
        <v>237</v>
      </c>
      <c r="G176" s="100">
        <v>401</v>
      </c>
      <c r="H176" s="100">
        <v>362</v>
      </c>
      <c r="I176" s="253">
        <v>2127</v>
      </c>
      <c r="J176" s="36"/>
      <c r="K176" s="36"/>
    </row>
    <row r="177" spans="1:13" ht="15.75" customHeight="1" x14ac:dyDescent="0.25">
      <c r="A177" s="100" t="s">
        <v>81</v>
      </c>
      <c r="B177" s="100">
        <v>232</v>
      </c>
      <c r="C177" s="100">
        <v>240</v>
      </c>
      <c r="D177" s="100">
        <v>226</v>
      </c>
      <c r="E177" s="100">
        <v>245</v>
      </c>
      <c r="F177" s="100">
        <v>261</v>
      </c>
      <c r="G177" s="100">
        <v>357</v>
      </c>
      <c r="H177" s="100">
        <v>302</v>
      </c>
      <c r="I177" s="253">
        <v>1863</v>
      </c>
      <c r="J177" s="36"/>
      <c r="K177" s="36"/>
    </row>
    <row r="178" spans="1:13" ht="15.75" customHeight="1" x14ac:dyDescent="0.25">
      <c r="A178" s="100" t="s">
        <v>63</v>
      </c>
      <c r="B178" s="100">
        <v>201</v>
      </c>
      <c r="C178" s="100">
        <v>218</v>
      </c>
      <c r="D178" s="100">
        <v>228</v>
      </c>
      <c r="E178" s="100">
        <v>273</v>
      </c>
      <c r="F178" s="100">
        <v>268</v>
      </c>
      <c r="G178" s="100">
        <v>351</v>
      </c>
      <c r="H178" s="100">
        <v>393</v>
      </c>
      <c r="I178" s="253">
        <v>1932</v>
      </c>
      <c r="J178" s="36"/>
      <c r="K178" s="36"/>
    </row>
    <row r="179" spans="1:13" ht="15.75" customHeight="1" x14ac:dyDescent="0.25">
      <c r="A179" s="100" t="s">
        <v>103</v>
      </c>
      <c r="B179" s="100">
        <v>192</v>
      </c>
      <c r="C179" s="100">
        <v>208</v>
      </c>
      <c r="D179" s="100">
        <v>193</v>
      </c>
      <c r="E179" s="100">
        <v>213</v>
      </c>
      <c r="F179" s="100">
        <v>184</v>
      </c>
      <c r="G179" s="100">
        <v>288</v>
      </c>
      <c r="H179" s="100">
        <v>157</v>
      </c>
      <c r="I179" s="253">
        <v>1435</v>
      </c>
      <c r="J179" s="36"/>
      <c r="K179" s="36"/>
    </row>
    <row r="180" spans="1:13" ht="15.75" customHeight="1" x14ac:dyDescent="0.25">
      <c r="A180" s="100" t="s">
        <v>84</v>
      </c>
      <c r="B180" s="100">
        <v>381</v>
      </c>
      <c r="C180" s="100">
        <v>389</v>
      </c>
      <c r="D180" s="100">
        <v>377</v>
      </c>
      <c r="E180" s="100">
        <v>397</v>
      </c>
      <c r="F180" s="100">
        <v>406</v>
      </c>
      <c r="G180" s="100">
        <v>436</v>
      </c>
      <c r="H180" s="100">
        <v>394</v>
      </c>
      <c r="I180" s="253">
        <v>2780</v>
      </c>
      <c r="J180" s="36"/>
      <c r="K180" s="36"/>
    </row>
    <row r="181" spans="1:13" ht="15.75" customHeight="1" x14ac:dyDescent="0.25">
      <c r="A181" s="100" t="s">
        <v>104</v>
      </c>
      <c r="B181" s="100">
        <v>102</v>
      </c>
      <c r="C181" s="100">
        <v>84</v>
      </c>
      <c r="D181" s="100">
        <v>94</v>
      </c>
      <c r="E181" s="100">
        <v>107</v>
      </c>
      <c r="F181" s="100">
        <v>116</v>
      </c>
      <c r="G181" s="100">
        <v>144</v>
      </c>
      <c r="H181" s="100">
        <v>105</v>
      </c>
      <c r="I181" s="100">
        <v>752</v>
      </c>
      <c r="J181" s="36"/>
      <c r="K181" s="36"/>
    </row>
    <row r="182" spans="1:13" ht="15.75" customHeight="1" x14ac:dyDescent="0.25">
      <c r="A182" s="100" t="s">
        <v>85</v>
      </c>
      <c r="B182" s="100">
        <v>140</v>
      </c>
      <c r="C182" s="100">
        <v>153</v>
      </c>
      <c r="D182" s="100">
        <v>159</v>
      </c>
      <c r="E182" s="100">
        <v>120</v>
      </c>
      <c r="F182" s="100">
        <v>112</v>
      </c>
      <c r="G182" s="100">
        <v>117</v>
      </c>
      <c r="H182" s="100">
        <v>128</v>
      </c>
      <c r="I182" s="253">
        <v>929</v>
      </c>
      <c r="J182" s="36"/>
      <c r="K182" s="36"/>
    </row>
    <row r="183" spans="1:13" ht="15.75" customHeight="1" x14ac:dyDescent="0.25">
      <c r="A183" s="100" t="s">
        <v>83</v>
      </c>
      <c r="B183" s="100">
        <v>315</v>
      </c>
      <c r="C183" s="100">
        <v>376</v>
      </c>
      <c r="D183" s="100">
        <v>269</v>
      </c>
      <c r="E183" s="100">
        <v>349</v>
      </c>
      <c r="F183" s="100">
        <v>360</v>
      </c>
      <c r="G183" s="100">
        <v>424</v>
      </c>
      <c r="H183" s="100">
        <v>334</v>
      </c>
      <c r="I183" s="253">
        <v>2427</v>
      </c>
      <c r="J183" s="36"/>
      <c r="K183" s="36"/>
    </row>
    <row r="184" spans="1:13" ht="15.75" customHeight="1" x14ac:dyDescent="0.25">
      <c r="A184" s="100" t="s">
        <v>86</v>
      </c>
      <c r="B184" s="100">
        <v>66</v>
      </c>
      <c r="C184" s="100">
        <v>58</v>
      </c>
      <c r="D184" s="100">
        <v>60</v>
      </c>
      <c r="E184" s="100">
        <v>57</v>
      </c>
      <c r="F184" s="100">
        <v>61</v>
      </c>
      <c r="G184" s="100">
        <v>81</v>
      </c>
      <c r="H184" s="100">
        <v>84</v>
      </c>
      <c r="I184" s="100">
        <v>467</v>
      </c>
      <c r="J184" s="36"/>
      <c r="K184" s="36"/>
    </row>
    <row r="185" spans="1:13" ht="15.75" customHeight="1" x14ac:dyDescent="0.25">
      <c r="A185" s="100" t="s">
        <v>105</v>
      </c>
      <c r="B185" s="100">
        <v>88</v>
      </c>
      <c r="C185" s="100">
        <v>122</v>
      </c>
      <c r="D185" s="100">
        <v>129</v>
      </c>
      <c r="E185" s="100">
        <v>109</v>
      </c>
      <c r="F185" s="100">
        <v>103</v>
      </c>
      <c r="G185" s="100">
        <v>145</v>
      </c>
      <c r="H185" s="259" t="s">
        <v>153</v>
      </c>
      <c r="I185" s="100">
        <v>696</v>
      </c>
      <c r="J185" s="36"/>
      <c r="K185" s="36"/>
    </row>
    <row r="186" spans="1:13" ht="15.75" customHeight="1" x14ac:dyDescent="0.25">
      <c r="A186" s="100" t="s">
        <v>106</v>
      </c>
      <c r="B186" s="100">
        <v>84</v>
      </c>
      <c r="C186" s="100">
        <v>73</v>
      </c>
      <c r="D186" s="100">
        <v>52</v>
      </c>
      <c r="E186" s="100">
        <v>54</v>
      </c>
      <c r="F186" s="100">
        <v>58</v>
      </c>
      <c r="G186" s="100">
        <v>58</v>
      </c>
      <c r="H186" s="100">
        <v>56</v>
      </c>
      <c r="I186" s="100">
        <v>435</v>
      </c>
      <c r="J186" s="36"/>
      <c r="K186" s="36"/>
    </row>
    <row r="187" spans="1:13" ht="15.75" customHeight="1" x14ac:dyDescent="0.25">
      <c r="A187" s="100" t="s">
        <v>107</v>
      </c>
      <c r="B187" s="100">
        <v>38</v>
      </c>
      <c r="C187" s="100">
        <v>19</v>
      </c>
      <c r="D187" s="100">
        <v>10</v>
      </c>
      <c r="E187" s="100">
        <v>27</v>
      </c>
      <c r="F187" s="100">
        <v>23</v>
      </c>
      <c r="G187" s="100">
        <v>60</v>
      </c>
      <c r="H187" s="100">
        <v>23</v>
      </c>
      <c r="I187" s="100">
        <v>200</v>
      </c>
      <c r="J187" s="36"/>
      <c r="K187" s="36"/>
    </row>
    <row r="188" spans="1:13" ht="15.75" customHeight="1" x14ac:dyDescent="0.25">
      <c r="A188" s="100" t="s">
        <v>108</v>
      </c>
      <c r="B188" s="100" t="s">
        <v>100</v>
      </c>
      <c r="C188" s="100" t="s">
        <v>100</v>
      </c>
      <c r="D188" s="247" t="s">
        <v>100</v>
      </c>
      <c r="E188" s="248" t="s">
        <v>100</v>
      </c>
      <c r="F188" s="100" t="s">
        <v>100</v>
      </c>
      <c r="G188" s="100" t="s">
        <v>100</v>
      </c>
      <c r="H188" s="100" t="s">
        <v>100</v>
      </c>
      <c r="I188" s="100" t="s">
        <v>171</v>
      </c>
      <c r="J188" s="36"/>
      <c r="K188" s="36"/>
    </row>
    <row r="189" spans="1:13" ht="15.75" customHeight="1" x14ac:dyDescent="0.25">
      <c r="A189" s="260"/>
      <c r="B189" s="257"/>
      <c r="C189" s="257"/>
      <c r="D189" s="257"/>
      <c r="E189" s="257"/>
      <c r="F189" s="257"/>
      <c r="G189" s="257"/>
      <c r="H189" s="254" t="s">
        <v>74</v>
      </c>
      <c r="I189" s="255">
        <f>SUM(I171:I188)</f>
        <v>22581</v>
      </c>
      <c r="J189" s="36"/>
      <c r="K189" s="36"/>
    </row>
    <row r="190" spans="1:13" ht="15.75" customHeight="1" x14ac:dyDescent="0.2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</row>
    <row r="191" spans="1:13" ht="15.75" customHeight="1" x14ac:dyDescent="0.25">
      <c r="A191" s="100"/>
      <c r="B191" s="100"/>
      <c r="C191" s="290" t="s">
        <v>206</v>
      </c>
      <c r="D191" s="289"/>
      <c r="E191" s="289"/>
      <c r="F191" s="289"/>
      <c r="G191" s="289"/>
      <c r="H191" s="289"/>
      <c r="I191" s="100"/>
      <c r="J191" s="260"/>
      <c r="K191" s="260"/>
      <c r="L191" s="2"/>
      <c r="M191" s="2"/>
    </row>
    <row r="192" spans="1:13" ht="15.75" customHeight="1" x14ac:dyDescent="0.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</row>
    <row r="193" spans="1:11" ht="15.75" customHeight="1" x14ac:dyDescent="0.2">
      <c r="A193" s="249" t="s">
        <v>92</v>
      </c>
      <c r="B193" s="261" t="s">
        <v>207</v>
      </c>
      <c r="C193" s="261" t="s">
        <v>208</v>
      </c>
      <c r="D193" s="262" t="s">
        <v>209</v>
      </c>
      <c r="E193" s="263" t="s">
        <v>210</v>
      </c>
      <c r="F193" s="261" t="s">
        <v>211</v>
      </c>
      <c r="G193" s="261" t="s">
        <v>212</v>
      </c>
      <c r="H193" s="261" t="s">
        <v>213</v>
      </c>
      <c r="I193" s="249" t="s">
        <v>74</v>
      </c>
      <c r="J193" s="36"/>
      <c r="K193" s="36"/>
    </row>
    <row r="194" spans="1:11" ht="15.75" customHeight="1" x14ac:dyDescent="0.25">
      <c r="A194" s="100" t="s">
        <v>28</v>
      </c>
      <c r="B194" s="100">
        <v>262</v>
      </c>
      <c r="C194" s="100">
        <v>274</v>
      </c>
      <c r="D194" s="100">
        <v>288</v>
      </c>
      <c r="E194" s="100">
        <v>276</v>
      </c>
      <c r="F194" s="100">
        <v>318</v>
      </c>
      <c r="G194" s="100">
        <v>351</v>
      </c>
      <c r="H194" s="100">
        <v>343</v>
      </c>
      <c r="I194" s="101">
        <v>2115</v>
      </c>
      <c r="J194" s="36"/>
      <c r="K194" s="36"/>
    </row>
    <row r="195" spans="1:11" ht="15.75" customHeight="1" x14ac:dyDescent="0.25">
      <c r="A195" s="100" t="s">
        <v>47</v>
      </c>
      <c r="B195" s="100">
        <v>216</v>
      </c>
      <c r="C195" s="100">
        <v>190</v>
      </c>
      <c r="D195" s="100">
        <v>243</v>
      </c>
      <c r="E195" s="100">
        <v>209</v>
      </c>
      <c r="F195" s="100">
        <v>270</v>
      </c>
      <c r="G195" s="100">
        <v>238</v>
      </c>
      <c r="H195" s="100">
        <v>226</v>
      </c>
      <c r="I195" s="101">
        <v>1592</v>
      </c>
      <c r="J195" s="36"/>
      <c r="K195" s="36"/>
    </row>
    <row r="196" spans="1:11" ht="15.75" customHeight="1" x14ac:dyDescent="0.25">
      <c r="A196" s="100" t="s">
        <v>82</v>
      </c>
      <c r="B196" s="100">
        <v>136</v>
      </c>
      <c r="C196" s="100">
        <v>142</v>
      </c>
      <c r="D196" s="100">
        <v>135</v>
      </c>
      <c r="E196" s="100">
        <v>261</v>
      </c>
      <c r="F196" s="100">
        <v>301</v>
      </c>
      <c r="G196" s="100">
        <v>399</v>
      </c>
      <c r="H196" s="100">
        <v>271</v>
      </c>
      <c r="I196" s="101">
        <v>1645</v>
      </c>
      <c r="J196" s="36"/>
      <c r="K196" s="36"/>
    </row>
    <row r="197" spans="1:11" ht="15.75" customHeight="1" x14ac:dyDescent="0.25">
      <c r="A197" s="100" t="s">
        <v>101</v>
      </c>
      <c r="B197" s="100">
        <v>190</v>
      </c>
      <c r="C197" s="100">
        <v>152</v>
      </c>
      <c r="D197" s="100">
        <v>157</v>
      </c>
      <c r="E197" s="100">
        <v>188</v>
      </c>
      <c r="F197" s="100">
        <v>249</v>
      </c>
      <c r="G197" s="100">
        <v>215</v>
      </c>
      <c r="H197" s="100">
        <v>267</v>
      </c>
      <c r="I197" s="253">
        <v>1418</v>
      </c>
      <c r="J197" s="36"/>
      <c r="K197" s="36"/>
    </row>
    <row r="198" spans="1:11" ht="15.75" customHeight="1" x14ac:dyDescent="0.25">
      <c r="A198" s="100" t="s">
        <v>102</v>
      </c>
      <c r="B198" s="100">
        <v>77</v>
      </c>
      <c r="C198" s="100">
        <v>84</v>
      </c>
      <c r="D198" s="100">
        <v>67</v>
      </c>
      <c r="E198" s="100">
        <v>68</v>
      </c>
      <c r="F198" s="100">
        <v>136</v>
      </c>
      <c r="G198" s="100">
        <v>123</v>
      </c>
      <c r="H198" s="100">
        <v>117</v>
      </c>
      <c r="I198" s="101">
        <v>672</v>
      </c>
      <c r="J198" s="36"/>
      <c r="K198" s="36"/>
    </row>
    <row r="199" spans="1:11" ht="15.75" customHeight="1" x14ac:dyDescent="0.25">
      <c r="A199" s="100" t="s">
        <v>15</v>
      </c>
      <c r="B199" s="100">
        <v>292</v>
      </c>
      <c r="C199" s="100">
        <v>262</v>
      </c>
      <c r="D199" s="100">
        <v>238</v>
      </c>
      <c r="E199" s="100">
        <v>279</v>
      </c>
      <c r="F199" s="100">
        <v>359</v>
      </c>
      <c r="G199" s="100">
        <v>412</v>
      </c>
      <c r="H199" s="100">
        <v>416</v>
      </c>
      <c r="I199" s="101">
        <v>2258</v>
      </c>
      <c r="J199" s="36"/>
      <c r="K199" s="36"/>
    </row>
    <row r="200" spans="1:11" ht="15.75" customHeight="1" x14ac:dyDescent="0.25">
      <c r="A200" s="100" t="s">
        <v>81</v>
      </c>
      <c r="B200" s="100">
        <v>183</v>
      </c>
      <c r="C200" s="100">
        <v>222</v>
      </c>
      <c r="D200" s="100">
        <v>192</v>
      </c>
      <c r="E200" s="100">
        <v>239</v>
      </c>
      <c r="F200" s="100">
        <v>325</v>
      </c>
      <c r="G200" s="100">
        <v>326</v>
      </c>
      <c r="H200" s="100">
        <v>294</v>
      </c>
      <c r="I200" s="101">
        <v>1781</v>
      </c>
      <c r="J200" s="36"/>
      <c r="K200" s="36"/>
    </row>
    <row r="201" spans="1:11" ht="15.75" customHeight="1" x14ac:dyDescent="0.25">
      <c r="A201" s="100" t="s">
        <v>63</v>
      </c>
      <c r="B201" s="100">
        <v>241</v>
      </c>
      <c r="C201" s="100">
        <v>306</v>
      </c>
      <c r="D201" s="100">
        <v>248</v>
      </c>
      <c r="E201" s="100">
        <v>356</v>
      </c>
      <c r="F201" s="100">
        <v>529</v>
      </c>
      <c r="G201" s="100">
        <v>453</v>
      </c>
      <c r="H201" s="100">
        <v>536</v>
      </c>
      <c r="I201" s="101">
        <v>2669</v>
      </c>
      <c r="J201" s="36"/>
      <c r="K201" s="36"/>
    </row>
    <row r="202" spans="1:11" ht="15.75" customHeight="1" x14ac:dyDescent="0.25">
      <c r="A202" s="100" t="s">
        <v>103</v>
      </c>
      <c r="B202" s="100">
        <v>188</v>
      </c>
      <c r="C202" s="100">
        <v>211</v>
      </c>
      <c r="D202" s="100">
        <v>184</v>
      </c>
      <c r="E202" s="100">
        <v>179</v>
      </c>
      <c r="F202" s="100">
        <v>219</v>
      </c>
      <c r="G202" s="100">
        <v>271</v>
      </c>
      <c r="H202" s="100">
        <v>183</v>
      </c>
      <c r="I202" s="101">
        <v>1435</v>
      </c>
      <c r="J202" s="36"/>
      <c r="K202" s="36"/>
    </row>
    <row r="203" spans="1:11" ht="15.75" customHeight="1" x14ac:dyDescent="0.25">
      <c r="A203" s="100" t="s">
        <v>84</v>
      </c>
      <c r="B203" s="100">
        <v>404</v>
      </c>
      <c r="C203" s="100">
        <v>388</v>
      </c>
      <c r="D203" s="100">
        <v>443</v>
      </c>
      <c r="E203" s="100">
        <v>426</v>
      </c>
      <c r="F203" s="100">
        <v>399</v>
      </c>
      <c r="G203" s="100">
        <v>416</v>
      </c>
      <c r="H203" s="100">
        <v>445</v>
      </c>
      <c r="I203" s="101">
        <v>2921</v>
      </c>
      <c r="J203" s="36"/>
      <c r="K203" s="36"/>
    </row>
    <row r="204" spans="1:11" ht="15.75" customHeight="1" x14ac:dyDescent="0.25">
      <c r="A204" s="100" t="s">
        <v>104</v>
      </c>
      <c r="B204" s="100">
        <v>100</v>
      </c>
      <c r="C204" s="100">
        <v>88</v>
      </c>
      <c r="D204" s="100">
        <v>73</v>
      </c>
      <c r="E204" s="100">
        <v>122</v>
      </c>
      <c r="F204" s="100">
        <v>125</v>
      </c>
      <c r="G204" s="100">
        <v>137</v>
      </c>
      <c r="H204" s="100">
        <v>99</v>
      </c>
      <c r="I204" s="101">
        <v>744</v>
      </c>
      <c r="J204" s="36"/>
      <c r="K204" s="36"/>
    </row>
    <row r="205" spans="1:11" ht="15.75" customHeight="1" x14ac:dyDescent="0.25">
      <c r="A205" s="100" t="s">
        <v>85</v>
      </c>
      <c r="B205" s="100">
        <v>137</v>
      </c>
      <c r="C205" s="100">
        <v>134</v>
      </c>
      <c r="D205" s="100">
        <v>154</v>
      </c>
      <c r="E205" s="100">
        <v>133</v>
      </c>
      <c r="F205" s="100">
        <v>137</v>
      </c>
      <c r="G205" s="100">
        <v>129</v>
      </c>
      <c r="H205" s="100">
        <v>119</v>
      </c>
      <c r="I205" s="101">
        <v>943</v>
      </c>
      <c r="J205" s="36"/>
      <c r="K205" s="36"/>
    </row>
    <row r="206" spans="1:11" ht="15.75" customHeight="1" x14ac:dyDescent="0.25">
      <c r="A206" s="100" t="s">
        <v>83</v>
      </c>
      <c r="B206" s="100">
        <v>321</v>
      </c>
      <c r="C206" s="100">
        <v>283</v>
      </c>
      <c r="D206" s="100">
        <v>275</v>
      </c>
      <c r="E206" s="100">
        <v>356</v>
      </c>
      <c r="F206" s="100" t="s">
        <v>100</v>
      </c>
      <c r="G206" s="100">
        <v>475</v>
      </c>
      <c r="H206" s="100">
        <v>511</v>
      </c>
      <c r="I206" s="101">
        <v>2221</v>
      </c>
      <c r="J206" s="36"/>
      <c r="K206" s="36"/>
    </row>
    <row r="207" spans="1:11" ht="15.75" customHeight="1" x14ac:dyDescent="0.25">
      <c r="A207" s="100" t="s">
        <v>86</v>
      </c>
      <c r="B207" s="100">
        <v>60</v>
      </c>
      <c r="C207" s="100">
        <v>61</v>
      </c>
      <c r="D207" s="100">
        <v>75</v>
      </c>
      <c r="E207" s="100">
        <v>60</v>
      </c>
      <c r="F207" s="100">
        <v>61</v>
      </c>
      <c r="G207" s="100">
        <v>90</v>
      </c>
      <c r="H207" s="100">
        <v>98</v>
      </c>
      <c r="I207" s="101">
        <v>505</v>
      </c>
      <c r="J207" s="36"/>
      <c r="K207" s="36"/>
    </row>
    <row r="208" spans="1:11" ht="15.75" customHeight="1" x14ac:dyDescent="0.25">
      <c r="A208" s="100" t="s">
        <v>105</v>
      </c>
      <c r="B208" s="100">
        <v>110</v>
      </c>
      <c r="C208" s="100">
        <v>119</v>
      </c>
      <c r="D208" s="100">
        <v>114</v>
      </c>
      <c r="E208" s="100">
        <v>142</v>
      </c>
      <c r="F208" s="264" t="s">
        <v>153</v>
      </c>
      <c r="G208" s="100">
        <v>18</v>
      </c>
      <c r="H208" s="265">
        <v>97</v>
      </c>
      <c r="I208" s="101">
        <v>600</v>
      </c>
      <c r="J208" s="36"/>
      <c r="K208" s="36"/>
    </row>
    <row r="209" spans="1:13" ht="15.75" customHeight="1" x14ac:dyDescent="0.25">
      <c r="A209" s="100" t="s">
        <v>106</v>
      </c>
      <c r="B209" s="100">
        <v>43</v>
      </c>
      <c r="C209" s="100">
        <v>47</v>
      </c>
      <c r="D209" s="100">
        <v>57</v>
      </c>
      <c r="E209" s="100">
        <v>122</v>
      </c>
      <c r="F209" s="100">
        <v>67</v>
      </c>
      <c r="G209" s="100">
        <v>88</v>
      </c>
      <c r="H209" s="100">
        <v>140</v>
      </c>
      <c r="I209" s="101">
        <v>564</v>
      </c>
      <c r="J209" s="36"/>
      <c r="K209" s="36"/>
    </row>
    <row r="210" spans="1:13" ht="15.75" customHeight="1" x14ac:dyDescent="0.25">
      <c r="A210" s="100" t="s">
        <v>107</v>
      </c>
      <c r="B210" s="100">
        <v>40</v>
      </c>
      <c r="C210" s="100">
        <v>29</v>
      </c>
      <c r="D210" s="100">
        <v>41</v>
      </c>
      <c r="E210" s="100">
        <v>48</v>
      </c>
      <c r="F210" s="100">
        <v>32</v>
      </c>
      <c r="G210" s="100">
        <v>49</v>
      </c>
      <c r="H210" s="100">
        <v>63</v>
      </c>
      <c r="I210" s="101">
        <v>302</v>
      </c>
      <c r="J210" s="36"/>
      <c r="K210" s="36"/>
    </row>
    <row r="211" spans="1:13" ht="15.75" customHeight="1" x14ac:dyDescent="0.25">
      <c r="A211" s="100" t="s">
        <v>108</v>
      </c>
      <c r="B211" s="100" t="s">
        <v>100</v>
      </c>
      <c r="C211" s="100" t="s">
        <v>100</v>
      </c>
      <c r="D211" s="247" t="s">
        <v>100</v>
      </c>
      <c r="E211" s="248" t="s">
        <v>100</v>
      </c>
      <c r="F211" s="100" t="s">
        <v>100</v>
      </c>
      <c r="G211" s="100" t="s">
        <v>100</v>
      </c>
      <c r="H211" s="100" t="s">
        <v>100</v>
      </c>
      <c r="I211" s="100" t="s">
        <v>171</v>
      </c>
      <c r="J211" s="36"/>
      <c r="K211" s="36"/>
    </row>
    <row r="212" spans="1:13" ht="15.75" customHeight="1" x14ac:dyDescent="0.25">
      <c r="A212" s="260"/>
      <c r="B212" s="257"/>
      <c r="C212" s="257"/>
      <c r="D212" s="257"/>
      <c r="E212" s="257"/>
      <c r="F212" s="257"/>
      <c r="G212" s="257"/>
      <c r="H212" s="254" t="s">
        <v>74</v>
      </c>
      <c r="I212" s="266">
        <f>SUM(I194:I211)</f>
        <v>24385</v>
      </c>
      <c r="J212" s="36"/>
      <c r="K212" s="36"/>
    </row>
    <row r="213" spans="1:13" ht="15.75" customHeight="1" x14ac:dyDescent="0.2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</row>
    <row r="214" spans="1:13" s="50" customFormat="1" ht="15.75" customHeight="1" x14ac:dyDescent="0.25">
      <c r="A214" s="100"/>
      <c r="B214" s="100"/>
      <c r="C214" s="287" t="s">
        <v>241</v>
      </c>
      <c r="D214" s="288"/>
      <c r="E214" s="288"/>
      <c r="F214" s="288"/>
      <c r="G214" s="288"/>
      <c r="H214" s="288"/>
      <c r="I214" s="100"/>
      <c r="J214" s="99"/>
      <c r="K214" s="99"/>
      <c r="L214" s="14"/>
      <c r="M214" s="14"/>
    </row>
    <row r="215" spans="1:13" ht="15.75" customHeight="1" x14ac:dyDescent="0.2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</row>
    <row r="216" spans="1:13" ht="15.75" customHeight="1" x14ac:dyDescent="0.2">
      <c r="A216" s="249" t="s">
        <v>92</v>
      </c>
      <c r="B216" s="250" t="s">
        <v>242</v>
      </c>
      <c r="C216" s="250" t="s">
        <v>243</v>
      </c>
      <c r="D216" s="251" t="s">
        <v>244</v>
      </c>
      <c r="E216" s="252" t="s">
        <v>245</v>
      </c>
      <c r="F216" s="250" t="s">
        <v>246</v>
      </c>
      <c r="G216" s="250" t="s">
        <v>247</v>
      </c>
      <c r="H216" s="250" t="s">
        <v>248</v>
      </c>
      <c r="I216" s="249" t="s">
        <v>74</v>
      </c>
      <c r="J216" s="36"/>
      <c r="K216" s="36"/>
    </row>
    <row r="217" spans="1:13" ht="15.75" customHeight="1" x14ac:dyDescent="0.25">
      <c r="A217" s="100" t="s">
        <v>28</v>
      </c>
      <c r="B217" s="100">
        <v>271</v>
      </c>
      <c r="C217" s="100">
        <v>330</v>
      </c>
      <c r="D217" s="100">
        <v>198</v>
      </c>
      <c r="E217" s="100">
        <v>281</v>
      </c>
      <c r="F217" s="100">
        <v>292</v>
      </c>
      <c r="G217" s="100">
        <v>347</v>
      </c>
      <c r="H217" s="100">
        <v>269</v>
      </c>
      <c r="I217" s="101">
        <v>1988</v>
      </c>
      <c r="J217" s="36"/>
      <c r="K217" s="36"/>
    </row>
    <row r="218" spans="1:13" ht="15.75" customHeight="1" x14ac:dyDescent="0.25">
      <c r="A218" s="100" t="s">
        <v>47</v>
      </c>
      <c r="B218" s="100">
        <v>186</v>
      </c>
      <c r="C218" s="100">
        <v>208</v>
      </c>
      <c r="D218" s="100">
        <v>219</v>
      </c>
      <c r="E218" s="100">
        <v>230</v>
      </c>
      <c r="F218" s="100">
        <v>218</v>
      </c>
      <c r="G218" s="100">
        <v>244</v>
      </c>
      <c r="H218" s="100">
        <v>258</v>
      </c>
      <c r="I218" s="101">
        <v>1563</v>
      </c>
      <c r="J218" s="36"/>
      <c r="K218" s="36"/>
    </row>
    <row r="219" spans="1:13" ht="15.75" customHeight="1" x14ac:dyDescent="0.25">
      <c r="A219" s="100" t="s">
        <v>82</v>
      </c>
      <c r="B219" s="100">
        <v>86</v>
      </c>
      <c r="C219" s="100">
        <v>67</v>
      </c>
      <c r="D219" s="100">
        <v>42</v>
      </c>
      <c r="E219" s="100">
        <v>59</v>
      </c>
      <c r="F219" s="100">
        <v>48</v>
      </c>
      <c r="G219" s="100">
        <v>203</v>
      </c>
      <c r="H219" s="100">
        <v>278</v>
      </c>
      <c r="I219" s="101">
        <v>783</v>
      </c>
      <c r="J219" s="36"/>
      <c r="K219" s="36"/>
    </row>
    <row r="220" spans="1:13" ht="15.75" customHeight="1" x14ac:dyDescent="0.25">
      <c r="A220" s="100" t="s">
        <v>101</v>
      </c>
      <c r="B220" s="100">
        <v>280</v>
      </c>
      <c r="C220" s="100">
        <v>173</v>
      </c>
      <c r="D220" s="100">
        <v>196</v>
      </c>
      <c r="E220" s="100">
        <v>231</v>
      </c>
      <c r="F220" s="100">
        <v>245</v>
      </c>
      <c r="G220" s="100">
        <v>370</v>
      </c>
      <c r="H220" s="100">
        <v>358</v>
      </c>
      <c r="I220" s="101">
        <v>1853</v>
      </c>
      <c r="J220" s="36"/>
      <c r="K220" s="36"/>
    </row>
    <row r="221" spans="1:13" ht="15.75" customHeight="1" x14ac:dyDescent="0.25">
      <c r="A221" s="100" t="s">
        <v>102</v>
      </c>
      <c r="B221" s="100">
        <v>81</v>
      </c>
      <c r="C221" s="100">
        <v>86</v>
      </c>
      <c r="D221" s="100">
        <v>96</v>
      </c>
      <c r="E221" s="100">
        <v>92</v>
      </c>
      <c r="F221" s="100">
        <v>120</v>
      </c>
      <c r="G221" s="100">
        <v>167</v>
      </c>
      <c r="H221" s="100">
        <v>159</v>
      </c>
      <c r="I221" s="101">
        <v>801</v>
      </c>
      <c r="J221" s="36"/>
      <c r="K221" s="36"/>
    </row>
    <row r="222" spans="1:13" ht="15.75" customHeight="1" x14ac:dyDescent="0.25">
      <c r="A222" s="100" t="s">
        <v>15</v>
      </c>
      <c r="B222" s="100">
        <v>252</v>
      </c>
      <c r="C222" s="100">
        <v>330</v>
      </c>
      <c r="D222" s="100">
        <v>253</v>
      </c>
      <c r="E222" s="100">
        <v>267</v>
      </c>
      <c r="F222" s="100">
        <v>221</v>
      </c>
      <c r="G222" s="100">
        <v>353</v>
      </c>
      <c r="H222" s="100">
        <v>306</v>
      </c>
      <c r="I222" s="101">
        <v>1982</v>
      </c>
      <c r="J222" s="36"/>
      <c r="K222" s="36"/>
    </row>
    <row r="223" spans="1:13" ht="15.75" customHeight="1" x14ac:dyDescent="0.25">
      <c r="A223" s="100" t="s">
        <v>81</v>
      </c>
      <c r="B223" s="100">
        <v>237</v>
      </c>
      <c r="C223" s="100">
        <v>208</v>
      </c>
      <c r="D223" s="100">
        <v>265</v>
      </c>
      <c r="E223" s="100">
        <v>270</v>
      </c>
      <c r="F223" s="100">
        <v>292</v>
      </c>
      <c r="G223" s="100">
        <v>504</v>
      </c>
      <c r="H223" s="100">
        <v>346</v>
      </c>
      <c r="I223" s="101">
        <v>2122</v>
      </c>
      <c r="J223" s="36"/>
      <c r="K223" s="36"/>
    </row>
    <row r="224" spans="1:13" ht="15.75" customHeight="1" x14ac:dyDescent="0.25">
      <c r="A224" s="100" t="s">
        <v>63</v>
      </c>
      <c r="B224" s="100">
        <v>248</v>
      </c>
      <c r="C224" s="100">
        <v>305</v>
      </c>
      <c r="D224" s="100">
        <v>333</v>
      </c>
      <c r="E224" s="100">
        <v>314</v>
      </c>
      <c r="F224" s="100">
        <v>346</v>
      </c>
      <c r="G224" s="100">
        <v>586</v>
      </c>
      <c r="H224" s="100">
        <v>399</v>
      </c>
      <c r="I224" s="101">
        <v>2531</v>
      </c>
      <c r="J224" s="36"/>
      <c r="K224" s="36"/>
    </row>
    <row r="225" spans="1:13" ht="15.75" customHeight="1" x14ac:dyDescent="0.25">
      <c r="A225" s="100" t="s">
        <v>103</v>
      </c>
      <c r="B225" s="100">
        <v>178</v>
      </c>
      <c r="C225" s="100">
        <v>195</v>
      </c>
      <c r="D225" s="100">
        <v>208</v>
      </c>
      <c r="E225" s="100">
        <v>256</v>
      </c>
      <c r="F225" s="100">
        <v>195</v>
      </c>
      <c r="G225" s="100">
        <v>453</v>
      </c>
      <c r="H225" s="100">
        <v>211</v>
      </c>
      <c r="I225" s="101">
        <v>1696</v>
      </c>
      <c r="J225" s="36"/>
      <c r="K225" s="36"/>
    </row>
    <row r="226" spans="1:13" ht="15.75" customHeight="1" x14ac:dyDescent="0.25">
      <c r="A226" s="100" t="s">
        <v>84</v>
      </c>
      <c r="B226" s="100">
        <v>445</v>
      </c>
      <c r="C226" s="100">
        <v>394</v>
      </c>
      <c r="D226" s="100">
        <v>458</v>
      </c>
      <c r="E226" s="100">
        <v>442</v>
      </c>
      <c r="F226" s="100">
        <v>220</v>
      </c>
      <c r="G226" s="100">
        <v>292</v>
      </c>
      <c r="H226" s="100">
        <v>226</v>
      </c>
      <c r="I226" s="101">
        <v>2477</v>
      </c>
      <c r="J226" s="36"/>
      <c r="K226" s="36"/>
    </row>
    <row r="227" spans="1:13" ht="15.75" customHeight="1" x14ac:dyDescent="0.25">
      <c r="A227" s="100" t="s">
        <v>104</v>
      </c>
      <c r="B227" s="100">
        <v>93</v>
      </c>
      <c r="C227" s="100">
        <v>125</v>
      </c>
      <c r="D227" s="100">
        <v>128</v>
      </c>
      <c r="E227" s="100">
        <v>98</v>
      </c>
      <c r="F227" s="100">
        <v>115</v>
      </c>
      <c r="G227" s="100">
        <v>160</v>
      </c>
      <c r="H227" s="100">
        <v>111</v>
      </c>
      <c r="I227" s="101">
        <v>830</v>
      </c>
      <c r="J227" s="36"/>
      <c r="K227" s="36"/>
    </row>
    <row r="228" spans="1:13" ht="15.75" customHeight="1" x14ac:dyDescent="0.25">
      <c r="A228" s="100" t="s">
        <v>85</v>
      </c>
      <c r="B228" s="100">
        <v>119</v>
      </c>
      <c r="C228" s="100">
        <v>134</v>
      </c>
      <c r="D228" s="100">
        <v>75</v>
      </c>
      <c r="E228" s="100">
        <v>156</v>
      </c>
      <c r="F228" s="100">
        <v>175</v>
      </c>
      <c r="G228" s="100">
        <v>190</v>
      </c>
      <c r="H228" s="100">
        <v>117</v>
      </c>
      <c r="I228" s="101">
        <v>966</v>
      </c>
      <c r="J228" s="36"/>
      <c r="K228" s="36"/>
    </row>
    <row r="229" spans="1:13" ht="15.75" customHeight="1" x14ac:dyDescent="0.25">
      <c r="A229" s="100" t="s">
        <v>83</v>
      </c>
      <c r="B229" s="100">
        <v>329</v>
      </c>
      <c r="C229" s="100">
        <v>408</v>
      </c>
      <c r="D229" s="100">
        <v>471</v>
      </c>
      <c r="E229" s="100">
        <v>455</v>
      </c>
      <c r="F229" s="100">
        <v>541</v>
      </c>
      <c r="G229" s="100">
        <v>615</v>
      </c>
      <c r="H229" s="100" t="s">
        <v>100</v>
      </c>
      <c r="I229" s="101">
        <v>2819</v>
      </c>
      <c r="J229" s="36"/>
      <c r="K229" s="36"/>
    </row>
    <row r="230" spans="1:13" ht="15.75" customHeight="1" x14ac:dyDescent="0.25">
      <c r="A230" s="100" t="s">
        <v>86</v>
      </c>
      <c r="B230" s="100">
        <v>102</v>
      </c>
      <c r="C230" s="100">
        <v>89</v>
      </c>
      <c r="D230" s="100">
        <v>66</v>
      </c>
      <c r="E230" s="100">
        <v>71</v>
      </c>
      <c r="F230" s="100">
        <v>96</v>
      </c>
      <c r="G230" s="100">
        <v>100</v>
      </c>
      <c r="H230" s="100">
        <v>117</v>
      </c>
      <c r="I230" s="101">
        <v>641</v>
      </c>
      <c r="J230" s="36"/>
      <c r="K230" s="36"/>
    </row>
    <row r="231" spans="1:13" ht="15.75" customHeight="1" x14ac:dyDescent="0.25">
      <c r="A231" s="100" t="s">
        <v>105</v>
      </c>
      <c r="B231" s="100">
        <v>180</v>
      </c>
      <c r="C231" s="100">
        <v>100</v>
      </c>
      <c r="D231" s="100">
        <v>147</v>
      </c>
      <c r="E231" s="100">
        <v>138</v>
      </c>
      <c r="F231" s="267">
        <v>134</v>
      </c>
      <c r="G231" s="100">
        <v>133</v>
      </c>
      <c r="H231" s="264" t="s">
        <v>153</v>
      </c>
      <c r="I231" s="101">
        <v>832</v>
      </c>
      <c r="J231" s="36"/>
      <c r="K231" s="36"/>
    </row>
    <row r="232" spans="1:13" ht="15.75" customHeight="1" x14ac:dyDescent="0.25">
      <c r="A232" s="100" t="s">
        <v>106</v>
      </c>
      <c r="B232" s="100">
        <v>84</v>
      </c>
      <c r="C232" s="100">
        <v>58</v>
      </c>
      <c r="D232" s="100">
        <v>95</v>
      </c>
      <c r="E232" s="100">
        <v>74</v>
      </c>
      <c r="F232" s="100">
        <v>84</v>
      </c>
      <c r="G232" s="100">
        <v>212</v>
      </c>
      <c r="H232" s="100">
        <v>163</v>
      </c>
      <c r="I232" s="101">
        <v>770</v>
      </c>
      <c r="J232" s="36"/>
      <c r="K232" s="36"/>
    </row>
    <row r="233" spans="1:13" ht="15.75" customHeight="1" x14ac:dyDescent="0.25">
      <c r="A233" s="100" t="s">
        <v>107</v>
      </c>
      <c r="B233" s="100">
        <v>29</v>
      </c>
      <c r="C233" s="100">
        <v>43</v>
      </c>
      <c r="D233" s="100">
        <v>40</v>
      </c>
      <c r="E233" s="100">
        <v>40</v>
      </c>
      <c r="F233" s="100">
        <v>40</v>
      </c>
      <c r="G233" s="100">
        <v>124</v>
      </c>
      <c r="H233" s="264" t="s">
        <v>153</v>
      </c>
      <c r="I233" s="101">
        <v>316</v>
      </c>
      <c r="J233" s="36"/>
      <c r="K233" s="36"/>
    </row>
    <row r="234" spans="1:13" ht="15.75" customHeight="1" x14ac:dyDescent="0.25">
      <c r="A234" s="100" t="s">
        <v>108</v>
      </c>
      <c r="B234" s="100" t="s">
        <v>100</v>
      </c>
      <c r="C234" s="100" t="s">
        <v>100</v>
      </c>
      <c r="D234" s="247" t="s">
        <v>100</v>
      </c>
      <c r="E234" s="248" t="s">
        <v>100</v>
      </c>
      <c r="F234" s="100" t="s">
        <v>100</v>
      </c>
      <c r="G234" s="100" t="s">
        <v>100</v>
      </c>
      <c r="H234" s="100" t="s">
        <v>100</v>
      </c>
      <c r="I234" s="100"/>
      <c r="J234" s="36"/>
      <c r="K234" s="36"/>
    </row>
    <row r="235" spans="1:13" ht="15.75" customHeight="1" x14ac:dyDescent="0.25">
      <c r="A235" s="260"/>
      <c r="B235" s="257"/>
      <c r="C235" s="257"/>
      <c r="D235" s="257"/>
      <c r="E235" s="257"/>
      <c r="F235" s="257"/>
      <c r="G235" s="257"/>
      <c r="H235" s="254" t="s">
        <v>74</v>
      </c>
      <c r="I235" s="266">
        <f>SUM(I217:I234)</f>
        <v>24970</v>
      </c>
      <c r="J235" s="36"/>
      <c r="K235" s="36"/>
    </row>
    <row r="236" spans="1:13" ht="15.75" customHeight="1" x14ac:dyDescent="0.2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</row>
    <row r="237" spans="1:13" s="153" customFormat="1" ht="15.75" customHeight="1" x14ac:dyDescent="0.25">
      <c r="A237" s="100"/>
      <c r="B237" s="100"/>
      <c r="C237" s="287" t="s">
        <v>288</v>
      </c>
      <c r="D237" s="288"/>
      <c r="E237" s="288"/>
      <c r="F237" s="288"/>
      <c r="G237" s="288"/>
      <c r="H237" s="288"/>
      <c r="I237" s="100"/>
      <c r="J237" s="99"/>
      <c r="K237" s="99"/>
      <c r="L237" s="14"/>
      <c r="M237" s="14"/>
    </row>
    <row r="238" spans="1:13" ht="15.75" customHeight="1" x14ac:dyDescent="0.2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</row>
    <row r="239" spans="1:13" ht="15.75" customHeight="1" x14ac:dyDescent="0.2">
      <c r="A239" s="249" t="s">
        <v>92</v>
      </c>
      <c r="B239" s="250" t="s">
        <v>289</v>
      </c>
      <c r="C239" s="250" t="s">
        <v>290</v>
      </c>
      <c r="D239" s="251" t="s">
        <v>291</v>
      </c>
      <c r="E239" s="252" t="s">
        <v>292</v>
      </c>
      <c r="F239" s="250" t="s">
        <v>293</v>
      </c>
      <c r="G239" s="250" t="s">
        <v>294</v>
      </c>
      <c r="H239" s="250" t="s">
        <v>295</v>
      </c>
      <c r="I239" s="249" t="s">
        <v>74</v>
      </c>
      <c r="J239" s="36"/>
      <c r="K239" s="36"/>
    </row>
    <row r="240" spans="1:13" ht="15.75" customHeight="1" x14ac:dyDescent="0.25">
      <c r="A240" s="100" t="s">
        <v>28</v>
      </c>
      <c r="B240" s="100">
        <v>322</v>
      </c>
      <c r="C240" s="100">
        <v>276</v>
      </c>
      <c r="D240" s="100">
        <v>283</v>
      </c>
      <c r="E240" s="100">
        <v>269</v>
      </c>
      <c r="F240" s="100">
        <v>281</v>
      </c>
      <c r="G240" s="100">
        <v>316</v>
      </c>
      <c r="H240" s="100">
        <v>301</v>
      </c>
      <c r="I240" s="101">
        <v>2048</v>
      </c>
      <c r="J240" s="36"/>
      <c r="K240" s="36"/>
    </row>
    <row r="241" spans="1:11" ht="15.75" customHeight="1" x14ac:dyDescent="0.25">
      <c r="A241" s="100" t="s">
        <v>47</v>
      </c>
      <c r="B241" s="100">
        <v>234</v>
      </c>
      <c r="C241" s="100">
        <v>190</v>
      </c>
      <c r="D241" s="100">
        <v>207</v>
      </c>
      <c r="E241" s="100">
        <v>106</v>
      </c>
      <c r="F241" s="100">
        <v>185</v>
      </c>
      <c r="G241" s="100">
        <v>256</v>
      </c>
      <c r="H241" s="100">
        <v>268</v>
      </c>
      <c r="I241" s="101">
        <v>1446</v>
      </c>
      <c r="J241" s="36"/>
      <c r="K241" s="36"/>
    </row>
    <row r="242" spans="1:11" ht="15.75" customHeight="1" x14ac:dyDescent="0.25">
      <c r="A242" s="100" t="s">
        <v>82</v>
      </c>
      <c r="B242" s="100">
        <v>59</v>
      </c>
      <c r="C242" s="100">
        <v>61</v>
      </c>
      <c r="D242" s="100">
        <v>52</v>
      </c>
      <c r="E242" s="100">
        <v>91</v>
      </c>
      <c r="F242" s="100">
        <v>49</v>
      </c>
      <c r="G242" s="100">
        <v>58</v>
      </c>
      <c r="H242" s="100">
        <v>133</v>
      </c>
      <c r="I242" s="101">
        <v>503</v>
      </c>
      <c r="J242" s="36"/>
      <c r="K242" s="36"/>
    </row>
    <row r="243" spans="1:11" ht="15.75" customHeight="1" x14ac:dyDescent="0.25">
      <c r="A243" s="100" t="s">
        <v>101</v>
      </c>
      <c r="B243" s="100">
        <v>169</v>
      </c>
      <c r="C243" s="100">
        <v>184</v>
      </c>
      <c r="D243" s="100">
        <v>186</v>
      </c>
      <c r="E243" s="100">
        <v>220</v>
      </c>
      <c r="F243" s="100">
        <v>212</v>
      </c>
      <c r="G243" s="100">
        <v>346</v>
      </c>
      <c r="H243" s="100">
        <v>312</v>
      </c>
      <c r="I243" s="101">
        <v>1629</v>
      </c>
      <c r="J243" s="36"/>
      <c r="K243" s="36"/>
    </row>
    <row r="244" spans="1:11" ht="15.75" customHeight="1" x14ac:dyDescent="0.25">
      <c r="A244" s="100" t="s">
        <v>102</v>
      </c>
      <c r="B244" s="100">
        <v>86</v>
      </c>
      <c r="C244" s="100">
        <v>78</v>
      </c>
      <c r="D244" s="100">
        <v>95</v>
      </c>
      <c r="E244" s="100">
        <v>86</v>
      </c>
      <c r="F244" s="100">
        <v>72</v>
      </c>
      <c r="G244" s="100">
        <v>135</v>
      </c>
      <c r="H244" s="100">
        <v>124</v>
      </c>
      <c r="I244" s="101">
        <v>676</v>
      </c>
      <c r="J244" s="36"/>
      <c r="K244" s="36"/>
    </row>
    <row r="245" spans="1:11" ht="15.75" customHeight="1" x14ac:dyDescent="0.25">
      <c r="A245" s="100" t="s">
        <v>15</v>
      </c>
      <c r="B245" s="100">
        <v>249</v>
      </c>
      <c r="C245" s="100">
        <v>231</v>
      </c>
      <c r="D245" s="100">
        <v>276</v>
      </c>
      <c r="E245" s="100">
        <v>370</v>
      </c>
      <c r="F245" s="100">
        <v>342</v>
      </c>
      <c r="G245" s="100">
        <v>464</v>
      </c>
      <c r="H245" s="100">
        <v>454</v>
      </c>
      <c r="I245" s="101">
        <v>2386</v>
      </c>
      <c r="J245" s="36"/>
      <c r="K245" s="36"/>
    </row>
    <row r="246" spans="1:11" ht="15.75" customHeight="1" x14ac:dyDescent="0.25">
      <c r="A246" s="100" t="s">
        <v>81</v>
      </c>
      <c r="B246" s="100">
        <v>229</v>
      </c>
      <c r="C246" s="100">
        <v>228</v>
      </c>
      <c r="D246" s="100">
        <v>295</v>
      </c>
      <c r="E246" s="100">
        <v>269</v>
      </c>
      <c r="F246" s="100">
        <v>260</v>
      </c>
      <c r="G246" s="100">
        <v>509</v>
      </c>
      <c r="H246" s="100">
        <v>491</v>
      </c>
      <c r="I246" s="101">
        <v>2281</v>
      </c>
      <c r="J246" s="36"/>
      <c r="K246" s="36"/>
    </row>
    <row r="247" spans="1:11" ht="15.75" customHeight="1" x14ac:dyDescent="0.25">
      <c r="A247" s="100" t="s">
        <v>63</v>
      </c>
      <c r="B247" s="100">
        <v>288</v>
      </c>
      <c r="C247" s="100">
        <v>330</v>
      </c>
      <c r="D247" s="100">
        <v>270</v>
      </c>
      <c r="E247" s="100">
        <v>322</v>
      </c>
      <c r="F247" s="100">
        <v>353</v>
      </c>
      <c r="G247" s="100">
        <v>460</v>
      </c>
      <c r="H247" s="100">
        <v>498</v>
      </c>
      <c r="I247" s="101">
        <v>2281</v>
      </c>
      <c r="J247" s="36"/>
      <c r="K247" s="36"/>
    </row>
    <row r="248" spans="1:11" ht="15.75" customHeight="1" x14ac:dyDescent="0.25">
      <c r="A248" s="100" t="s">
        <v>103</v>
      </c>
      <c r="B248" s="100">
        <v>228</v>
      </c>
      <c r="C248" s="100">
        <v>146</v>
      </c>
      <c r="D248" s="100">
        <v>184</v>
      </c>
      <c r="E248" s="100">
        <v>172</v>
      </c>
      <c r="F248" s="100">
        <v>201</v>
      </c>
      <c r="G248" s="100">
        <v>260</v>
      </c>
      <c r="H248" s="100">
        <v>283</v>
      </c>
      <c r="I248" s="101">
        <v>1474</v>
      </c>
      <c r="J248" s="36"/>
      <c r="K248" s="36"/>
    </row>
    <row r="249" spans="1:11" ht="15.75" customHeight="1" x14ac:dyDescent="0.25">
      <c r="A249" s="100" t="s">
        <v>84</v>
      </c>
      <c r="B249" s="100">
        <v>209</v>
      </c>
      <c r="C249" s="100">
        <v>212</v>
      </c>
      <c r="D249" s="100">
        <v>226</v>
      </c>
      <c r="E249" s="100">
        <v>205</v>
      </c>
      <c r="F249" s="100">
        <v>255</v>
      </c>
      <c r="G249" s="100">
        <v>278</v>
      </c>
      <c r="H249" s="100">
        <v>269</v>
      </c>
      <c r="I249" s="101">
        <v>1654</v>
      </c>
      <c r="J249" s="36"/>
      <c r="K249" s="36"/>
    </row>
    <row r="250" spans="1:11" ht="15.75" customHeight="1" x14ac:dyDescent="0.25">
      <c r="A250" s="100" t="s">
        <v>104</v>
      </c>
      <c r="B250" s="100">
        <v>96</v>
      </c>
      <c r="C250" s="100">
        <v>86</v>
      </c>
      <c r="D250" s="100">
        <v>81</v>
      </c>
      <c r="E250" s="100">
        <v>75</v>
      </c>
      <c r="F250" s="100">
        <v>118</v>
      </c>
      <c r="G250" s="100">
        <v>136</v>
      </c>
      <c r="H250" s="100">
        <v>103</v>
      </c>
      <c r="I250" s="101">
        <v>695</v>
      </c>
      <c r="J250" s="36"/>
      <c r="K250" s="36"/>
    </row>
    <row r="251" spans="1:11" ht="15.75" customHeight="1" x14ac:dyDescent="0.25">
      <c r="A251" s="100" t="s">
        <v>85</v>
      </c>
      <c r="B251" s="100">
        <v>116</v>
      </c>
      <c r="C251" s="100">
        <v>116</v>
      </c>
      <c r="D251" s="100">
        <v>138</v>
      </c>
      <c r="E251" s="100">
        <v>135</v>
      </c>
      <c r="F251" s="100">
        <v>135</v>
      </c>
      <c r="G251" s="100">
        <v>193</v>
      </c>
      <c r="H251" s="100">
        <v>207</v>
      </c>
      <c r="I251" s="101">
        <v>1040</v>
      </c>
      <c r="J251" s="36"/>
      <c r="K251" s="36"/>
    </row>
    <row r="252" spans="1:11" ht="15.75" customHeight="1" x14ac:dyDescent="0.25">
      <c r="A252" s="100" t="s">
        <v>83</v>
      </c>
      <c r="B252" s="100">
        <v>333</v>
      </c>
      <c r="C252" s="100">
        <v>345</v>
      </c>
      <c r="D252" s="100">
        <v>381</v>
      </c>
      <c r="E252" s="100">
        <v>437</v>
      </c>
      <c r="F252" s="100">
        <v>622</v>
      </c>
      <c r="G252" s="100">
        <v>1521</v>
      </c>
      <c r="H252" s="100">
        <v>1278</v>
      </c>
      <c r="I252" s="101">
        <v>4917</v>
      </c>
      <c r="J252" s="36"/>
      <c r="K252" s="36"/>
    </row>
    <row r="253" spans="1:11" ht="15.75" customHeight="1" x14ac:dyDescent="0.25">
      <c r="A253" s="100" t="s">
        <v>86</v>
      </c>
      <c r="B253" s="100">
        <v>50</v>
      </c>
      <c r="C253" s="100">
        <v>68</v>
      </c>
      <c r="D253" s="100">
        <v>73</v>
      </c>
      <c r="E253" s="100">
        <v>68</v>
      </c>
      <c r="F253" s="100">
        <v>88</v>
      </c>
      <c r="G253" s="100">
        <v>90</v>
      </c>
      <c r="H253" s="100">
        <v>115</v>
      </c>
      <c r="I253" s="101">
        <v>552</v>
      </c>
      <c r="J253" s="36"/>
      <c r="K253" s="36"/>
    </row>
    <row r="254" spans="1:11" ht="15.75" customHeight="1" x14ac:dyDescent="0.25">
      <c r="A254" s="100" t="s">
        <v>105</v>
      </c>
      <c r="B254" s="100">
        <v>101</v>
      </c>
      <c r="C254" s="100">
        <v>132</v>
      </c>
      <c r="D254" s="100">
        <v>109</v>
      </c>
      <c r="E254" s="100">
        <v>150</v>
      </c>
      <c r="F254" s="267">
        <v>172</v>
      </c>
      <c r="G254" s="100">
        <v>173</v>
      </c>
      <c r="H254" s="267" t="s">
        <v>100</v>
      </c>
      <c r="I254" s="101">
        <v>837</v>
      </c>
      <c r="J254" s="36"/>
      <c r="K254" s="36"/>
    </row>
    <row r="255" spans="1:11" ht="15.75" customHeight="1" x14ac:dyDescent="0.25">
      <c r="A255" s="100" t="s">
        <v>106</v>
      </c>
      <c r="B255" s="100">
        <v>65</v>
      </c>
      <c r="C255" s="100">
        <v>57</v>
      </c>
      <c r="D255" s="100">
        <v>51</v>
      </c>
      <c r="E255" s="100">
        <v>51</v>
      </c>
      <c r="F255" s="100">
        <v>61</v>
      </c>
      <c r="G255" s="100">
        <v>69</v>
      </c>
      <c r="H255" s="100">
        <v>72</v>
      </c>
      <c r="I255" s="101">
        <v>426</v>
      </c>
      <c r="J255" s="36"/>
      <c r="K255" s="36"/>
    </row>
    <row r="256" spans="1:11" ht="15.75" customHeight="1" x14ac:dyDescent="0.25">
      <c r="A256" s="100" t="s">
        <v>107</v>
      </c>
      <c r="B256" s="100">
        <v>54</v>
      </c>
      <c r="C256" s="100">
        <v>51</v>
      </c>
      <c r="D256" s="100">
        <v>41</v>
      </c>
      <c r="E256" s="100">
        <v>47</v>
      </c>
      <c r="F256" s="100">
        <v>68</v>
      </c>
      <c r="G256" s="100">
        <v>97</v>
      </c>
      <c r="H256" s="267">
        <v>49</v>
      </c>
      <c r="I256" s="101">
        <v>407</v>
      </c>
      <c r="J256" s="36"/>
      <c r="K256" s="36"/>
    </row>
    <row r="257" spans="1:13" ht="15.75" customHeight="1" x14ac:dyDescent="0.25">
      <c r="A257" s="100" t="s">
        <v>108</v>
      </c>
      <c r="B257" s="100" t="s">
        <v>100</v>
      </c>
      <c r="C257" s="100" t="s">
        <v>100</v>
      </c>
      <c r="D257" s="247" t="s">
        <v>100</v>
      </c>
      <c r="E257" s="248" t="s">
        <v>100</v>
      </c>
      <c r="F257" s="100" t="s">
        <v>100</v>
      </c>
      <c r="G257" s="100" t="s">
        <v>100</v>
      </c>
      <c r="H257" s="100" t="s">
        <v>100</v>
      </c>
      <c r="I257" s="100"/>
      <c r="J257" s="36"/>
      <c r="K257" s="36"/>
    </row>
    <row r="258" spans="1:13" ht="15.75" customHeight="1" x14ac:dyDescent="0.25">
      <c r="A258" s="260"/>
      <c r="B258" s="257"/>
      <c r="C258" s="257"/>
      <c r="D258" s="257"/>
      <c r="E258" s="257"/>
      <c r="F258" s="257"/>
      <c r="G258" s="257"/>
      <c r="H258" s="254" t="s">
        <v>74</v>
      </c>
      <c r="I258" s="266">
        <f>SUM(I240:I257)</f>
        <v>25252</v>
      </c>
      <c r="J258" s="36"/>
      <c r="K258" s="36"/>
    </row>
    <row r="259" spans="1:13" ht="15.75" customHeight="1" x14ac:dyDescent="0.2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</row>
    <row r="260" spans="1:13" s="154" customFormat="1" ht="15.75" customHeight="1" x14ac:dyDescent="0.25">
      <c r="A260" s="100"/>
      <c r="B260" s="100"/>
      <c r="C260" s="287" t="s">
        <v>296</v>
      </c>
      <c r="D260" s="288"/>
      <c r="E260" s="288"/>
      <c r="F260" s="288"/>
      <c r="G260" s="288"/>
      <c r="H260" s="288"/>
      <c r="I260" s="100"/>
      <c r="J260" s="99"/>
      <c r="K260" s="99"/>
      <c r="L260" s="14"/>
      <c r="M260" s="14"/>
    </row>
    <row r="261" spans="1:13" ht="15.75" customHeight="1" x14ac:dyDescent="0.2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</row>
    <row r="262" spans="1:13" ht="15.75" customHeight="1" x14ac:dyDescent="0.2">
      <c r="A262" s="249" t="s">
        <v>92</v>
      </c>
      <c r="B262" s="250" t="s">
        <v>297</v>
      </c>
      <c r="C262" s="250" t="s">
        <v>298</v>
      </c>
      <c r="D262" s="251" t="s">
        <v>299</v>
      </c>
      <c r="E262" s="252" t="s">
        <v>300</v>
      </c>
      <c r="F262" s="250" t="s">
        <v>301</v>
      </c>
      <c r="G262" s="250" t="s">
        <v>302</v>
      </c>
      <c r="H262" s="250" t="s">
        <v>303</v>
      </c>
      <c r="I262" s="249" t="s">
        <v>74</v>
      </c>
      <c r="J262" s="36"/>
      <c r="K262" s="36"/>
    </row>
    <row r="263" spans="1:13" ht="15.75" customHeight="1" x14ac:dyDescent="0.25">
      <c r="A263" s="100" t="s">
        <v>28</v>
      </c>
      <c r="B263" s="100">
        <v>223</v>
      </c>
      <c r="C263" s="100">
        <v>246</v>
      </c>
      <c r="D263" s="100">
        <v>310</v>
      </c>
      <c r="E263" s="100">
        <v>285</v>
      </c>
      <c r="F263" s="100">
        <v>249</v>
      </c>
      <c r="G263" s="100">
        <v>261</v>
      </c>
      <c r="H263" s="100">
        <v>256</v>
      </c>
      <c r="I263" s="101">
        <v>1830</v>
      </c>
      <c r="J263" s="36"/>
      <c r="K263" s="36"/>
    </row>
    <row r="264" spans="1:13" ht="15.75" customHeight="1" x14ac:dyDescent="0.25">
      <c r="A264" s="100" t="s">
        <v>47</v>
      </c>
      <c r="B264" s="100">
        <v>227</v>
      </c>
      <c r="C264" s="100">
        <v>248</v>
      </c>
      <c r="D264" s="100">
        <v>217</v>
      </c>
      <c r="E264" s="100">
        <v>214</v>
      </c>
      <c r="F264" s="100">
        <v>240</v>
      </c>
      <c r="G264" s="100">
        <v>255</v>
      </c>
      <c r="H264" s="100">
        <v>280</v>
      </c>
      <c r="I264" s="101">
        <v>1681</v>
      </c>
      <c r="J264" s="36"/>
      <c r="K264" s="36"/>
    </row>
    <row r="265" spans="1:13" ht="15.75" customHeight="1" x14ac:dyDescent="0.25">
      <c r="A265" s="100" t="s">
        <v>82</v>
      </c>
      <c r="B265" s="100">
        <v>72</v>
      </c>
      <c r="C265" s="100">
        <v>51</v>
      </c>
      <c r="D265" s="100">
        <v>47</v>
      </c>
      <c r="E265" s="100">
        <v>40</v>
      </c>
      <c r="F265" s="100">
        <v>60</v>
      </c>
      <c r="G265" s="100">
        <v>86</v>
      </c>
      <c r="H265" s="100">
        <v>121</v>
      </c>
      <c r="I265" s="101">
        <v>477</v>
      </c>
      <c r="J265" s="36"/>
      <c r="K265" s="36"/>
    </row>
    <row r="266" spans="1:13" ht="15.75" customHeight="1" x14ac:dyDescent="0.25">
      <c r="A266" s="100" t="s">
        <v>101</v>
      </c>
      <c r="B266" s="100">
        <v>220</v>
      </c>
      <c r="C266" s="100">
        <v>194</v>
      </c>
      <c r="D266" s="100">
        <v>210</v>
      </c>
      <c r="E266" s="100">
        <v>206</v>
      </c>
      <c r="F266" s="100">
        <v>216</v>
      </c>
      <c r="G266" s="100">
        <v>345</v>
      </c>
      <c r="H266" s="100">
        <v>377</v>
      </c>
      <c r="I266" s="101">
        <v>1768</v>
      </c>
      <c r="J266" s="36"/>
      <c r="K266" s="36"/>
    </row>
    <row r="267" spans="1:13" ht="15.75" customHeight="1" x14ac:dyDescent="0.25">
      <c r="A267" s="100" t="s">
        <v>102</v>
      </c>
      <c r="B267" s="100">
        <v>91</v>
      </c>
      <c r="C267" s="100">
        <v>84</v>
      </c>
      <c r="D267" s="100">
        <v>100</v>
      </c>
      <c r="E267" s="100">
        <v>76</v>
      </c>
      <c r="F267" s="100">
        <v>82</v>
      </c>
      <c r="G267" s="100">
        <v>122</v>
      </c>
      <c r="H267" s="100">
        <v>136</v>
      </c>
      <c r="I267" s="101">
        <v>691</v>
      </c>
      <c r="J267" s="36"/>
      <c r="K267" s="36"/>
    </row>
    <row r="268" spans="1:13" ht="15.75" customHeight="1" x14ac:dyDescent="0.25">
      <c r="A268" s="100" t="s">
        <v>15</v>
      </c>
      <c r="B268" s="100">
        <v>251</v>
      </c>
      <c r="C268" s="100">
        <v>217</v>
      </c>
      <c r="D268" s="100">
        <v>245</v>
      </c>
      <c r="E268" s="100">
        <v>239</v>
      </c>
      <c r="F268" s="100">
        <v>273</v>
      </c>
      <c r="G268" s="100">
        <v>340</v>
      </c>
      <c r="H268" s="100">
        <v>407</v>
      </c>
      <c r="I268" s="101">
        <v>1972</v>
      </c>
      <c r="J268" s="36"/>
      <c r="K268" s="36"/>
    </row>
    <row r="269" spans="1:13" ht="15.75" customHeight="1" x14ac:dyDescent="0.25">
      <c r="A269" s="100" t="s">
        <v>81</v>
      </c>
      <c r="B269" s="100">
        <v>302</v>
      </c>
      <c r="C269" s="100">
        <v>262</v>
      </c>
      <c r="D269" s="100">
        <v>270</v>
      </c>
      <c r="E269" s="100">
        <v>247</v>
      </c>
      <c r="F269" s="100">
        <v>275</v>
      </c>
      <c r="G269" s="100">
        <v>371</v>
      </c>
      <c r="H269" s="100">
        <v>274</v>
      </c>
      <c r="I269" s="101">
        <v>2001</v>
      </c>
      <c r="J269" s="36"/>
      <c r="K269" s="36"/>
    </row>
    <row r="270" spans="1:13" ht="15.75" customHeight="1" x14ac:dyDescent="0.25">
      <c r="A270" s="100" t="s">
        <v>63</v>
      </c>
      <c r="B270" s="100">
        <v>338</v>
      </c>
      <c r="C270" s="100">
        <v>318</v>
      </c>
      <c r="D270" s="100">
        <v>292</v>
      </c>
      <c r="E270" s="100">
        <v>350</v>
      </c>
      <c r="F270" s="100">
        <v>306</v>
      </c>
      <c r="G270" s="100">
        <v>426</v>
      </c>
      <c r="H270" s="100">
        <v>610</v>
      </c>
      <c r="I270" s="101">
        <v>2640</v>
      </c>
      <c r="J270" s="36"/>
      <c r="K270" s="36"/>
    </row>
    <row r="271" spans="1:13" ht="15.75" customHeight="1" x14ac:dyDescent="0.25">
      <c r="A271" s="100" t="s">
        <v>103</v>
      </c>
      <c r="B271" s="100">
        <v>201</v>
      </c>
      <c r="C271" s="100">
        <v>238</v>
      </c>
      <c r="D271" s="100">
        <v>212</v>
      </c>
      <c r="E271" s="100">
        <v>259</v>
      </c>
      <c r="F271" s="100">
        <v>207</v>
      </c>
      <c r="G271" s="100">
        <v>440</v>
      </c>
      <c r="H271" s="100">
        <v>266</v>
      </c>
      <c r="I271" s="101">
        <v>1823</v>
      </c>
      <c r="J271" s="36"/>
      <c r="K271" s="36"/>
    </row>
    <row r="272" spans="1:13" ht="15.75" customHeight="1" x14ac:dyDescent="0.25">
      <c r="A272" s="100" t="s">
        <v>84</v>
      </c>
      <c r="B272" s="100">
        <v>258</v>
      </c>
      <c r="C272" s="100">
        <v>203</v>
      </c>
      <c r="D272" s="100">
        <v>213</v>
      </c>
      <c r="E272" s="100">
        <v>230</v>
      </c>
      <c r="F272" s="100">
        <v>233</v>
      </c>
      <c r="G272" s="100">
        <v>296</v>
      </c>
      <c r="H272" s="100">
        <v>250</v>
      </c>
      <c r="I272" s="101">
        <v>1683</v>
      </c>
      <c r="J272" s="36"/>
      <c r="K272" s="36"/>
    </row>
    <row r="273" spans="1:13" ht="15.75" customHeight="1" x14ac:dyDescent="0.25">
      <c r="A273" s="100" t="s">
        <v>104</v>
      </c>
      <c r="B273" s="100">
        <v>111</v>
      </c>
      <c r="C273" s="100">
        <v>93</v>
      </c>
      <c r="D273" s="100">
        <v>92</v>
      </c>
      <c r="E273" s="100">
        <v>88</v>
      </c>
      <c r="F273" s="100">
        <v>101</v>
      </c>
      <c r="G273" s="100">
        <v>107</v>
      </c>
      <c r="H273" s="100">
        <v>103</v>
      </c>
      <c r="I273" s="101">
        <v>695</v>
      </c>
      <c r="J273" s="36"/>
      <c r="K273" s="36"/>
    </row>
    <row r="274" spans="1:13" ht="15.75" customHeight="1" x14ac:dyDescent="0.25">
      <c r="A274" s="100" t="s">
        <v>85</v>
      </c>
      <c r="B274" s="100">
        <v>185</v>
      </c>
      <c r="C274" s="100">
        <v>146</v>
      </c>
      <c r="D274" s="100">
        <v>150</v>
      </c>
      <c r="E274" s="100">
        <v>165</v>
      </c>
      <c r="F274" s="100">
        <v>148</v>
      </c>
      <c r="G274" s="100">
        <v>205</v>
      </c>
      <c r="H274" s="100">
        <v>173</v>
      </c>
      <c r="I274" s="101">
        <v>1172</v>
      </c>
      <c r="J274" s="36"/>
      <c r="K274" s="36"/>
    </row>
    <row r="275" spans="1:13" ht="15.75" customHeight="1" x14ac:dyDescent="0.25">
      <c r="A275" s="100" t="s">
        <v>83</v>
      </c>
      <c r="B275" s="100">
        <v>394</v>
      </c>
      <c r="C275" s="100">
        <v>418</v>
      </c>
      <c r="D275" s="100">
        <v>380</v>
      </c>
      <c r="E275" s="100">
        <v>436</v>
      </c>
      <c r="F275" s="100">
        <v>387</v>
      </c>
      <c r="G275" s="100">
        <v>389</v>
      </c>
      <c r="H275" s="100">
        <v>535</v>
      </c>
      <c r="I275" s="101">
        <v>2939</v>
      </c>
      <c r="J275" s="36"/>
      <c r="K275" s="36"/>
    </row>
    <row r="276" spans="1:13" ht="15.75" customHeight="1" x14ac:dyDescent="0.25">
      <c r="A276" s="100" t="s">
        <v>86</v>
      </c>
      <c r="B276" s="100">
        <v>80</v>
      </c>
      <c r="C276" s="100">
        <v>90</v>
      </c>
      <c r="D276" s="100">
        <v>70</v>
      </c>
      <c r="E276" s="100">
        <v>82</v>
      </c>
      <c r="F276" s="100">
        <v>95</v>
      </c>
      <c r="G276" s="100">
        <v>85</v>
      </c>
      <c r="H276" s="100">
        <v>124</v>
      </c>
      <c r="I276" s="101">
        <v>626</v>
      </c>
      <c r="J276" s="36"/>
      <c r="K276" s="36"/>
    </row>
    <row r="277" spans="1:13" ht="15.75" customHeight="1" x14ac:dyDescent="0.25">
      <c r="A277" s="100" t="s">
        <v>105</v>
      </c>
      <c r="B277" s="100">
        <v>141</v>
      </c>
      <c r="C277" s="100">
        <v>135</v>
      </c>
      <c r="D277" s="100">
        <v>123</v>
      </c>
      <c r="E277" s="100">
        <v>133</v>
      </c>
      <c r="F277" s="267">
        <v>130</v>
      </c>
      <c r="G277" s="100">
        <v>132</v>
      </c>
      <c r="H277" s="267">
        <v>84</v>
      </c>
      <c r="I277" s="101">
        <v>878</v>
      </c>
      <c r="J277" s="36"/>
      <c r="K277" s="36"/>
    </row>
    <row r="278" spans="1:13" ht="15.75" customHeight="1" x14ac:dyDescent="0.25">
      <c r="A278" s="100" t="s">
        <v>106</v>
      </c>
      <c r="B278" s="100">
        <v>51</v>
      </c>
      <c r="C278" s="100">
        <v>56</v>
      </c>
      <c r="D278" s="100">
        <v>68</v>
      </c>
      <c r="E278" s="100">
        <v>51</v>
      </c>
      <c r="F278" s="100">
        <v>75</v>
      </c>
      <c r="G278" s="100">
        <v>82</v>
      </c>
      <c r="H278" s="100">
        <v>62</v>
      </c>
      <c r="I278" s="101">
        <v>445</v>
      </c>
      <c r="J278" s="36"/>
      <c r="K278" s="36"/>
    </row>
    <row r="279" spans="1:13" ht="15.75" customHeight="1" x14ac:dyDescent="0.25">
      <c r="A279" s="100" t="s">
        <v>107</v>
      </c>
      <c r="B279" s="100">
        <v>38</v>
      </c>
      <c r="C279" s="100">
        <v>40</v>
      </c>
      <c r="D279" s="100">
        <v>56</v>
      </c>
      <c r="E279" s="100">
        <v>54</v>
      </c>
      <c r="F279" s="100">
        <v>42</v>
      </c>
      <c r="G279" s="100">
        <v>53</v>
      </c>
      <c r="H279" s="267">
        <v>25</v>
      </c>
      <c r="I279" s="101">
        <v>308</v>
      </c>
      <c r="J279" s="36"/>
      <c r="K279" s="36"/>
    </row>
    <row r="280" spans="1:13" ht="15.75" customHeight="1" x14ac:dyDescent="0.25">
      <c r="A280" s="100" t="s">
        <v>108</v>
      </c>
      <c r="B280" s="100" t="s">
        <v>100</v>
      </c>
      <c r="C280" s="100" t="s">
        <v>100</v>
      </c>
      <c r="D280" s="247" t="s">
        <v>100</v>
      </c>
      <c r="E280" s="248" t="s">
        <v>100</v>
      </c>
      <c r="F280" s="100" t="s">
        <v>100</v>
      </c>
      <c r="G280" s="100" t="s">
        <v>100</v>
      </c>
      <c r="H280" s="100" t="s">
        <v>100</v>
      </c>
      <c r="I280" s="100"/>
      <c r="J280" s="36"/>
      <c r="K280" s="36"/>
    </row>
    <row r="281" spans="1:13" ht="15.75" customHeight="1" x14ac:dyDescent="0.25">
      <c r="A281" s="260"/>
      <c r="B281" s="257"/>
      <c r="C281" s="257"/>
      <c r="D281" s="257"/>
      <c r="E281" s="257"/>
      <c r="F281" s="257"/>
      <c r="G281" s="257"/>
      <c r="H281" s="254" t="s">
        <v>74</v>
      </c>
      <c r="I281" s="266">
        <f>SUM(I263:I280)</f>
        <v>23629</v>
      </c>
      <c r="J281" s="36"/>
      <c r="K281" s="36"/>
    </row>
    <row r="282" spans="1:13" ht="15.75" customHeight="1" x14ac:dyDescent="0.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</row>
    <row r="283" spans="1:13" s="162" customFormat="1" ht="15.75" customHeight="1" x14ac:dyDescent="0.25">
      <c r="A283" s="100"/>
      <c r="B283" s="100"/>
      <c r="C283" s="287" t="s">
        <v>318</v>
      </c>
      <c r="D283" s="288"/>
      <c r="E283" s="288"/>
      <c r="F283" s="288"/>
      <c r="G283" s="288"/>
      <c r="H283" s="288"/>
      <c r="I283" s="100"/>
      <c r="J283" s="99"/>
      <c r="K283" s="99"/>
      <c r="L283" s="14"/>
      <c r="M283" s="14"/>
    </row>
    <row r="284" spans="1:13" ht="15.75" customHeight="1" x14ac:dyDescent="0.2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</row>
    <row r="285" spans="1:13" ht="15.75" customHeight="1" x14ac:dyDescent="0.2">
      <c r="A285" s="249" t="s">
        <v>92</v>
      </c>
      <c r="B285" s="250" t="s">
        <v>319</v>
      </c>
      <c r="C285" s="250" t="s">
        <v>320</v>
      </c>
      <c r="D285" s="251" t="s">
        <v>321</v>
      </c>
      <c r="E285" s="252" t="s">
        <v>322</v>
      </c>
      <c r="F285" s="250" t="s">
        <v>323</v>
      </c>
      <c r="G285" s="250" t="s">
        <v>324</v>
      </c>
      <c r="H285" s="250" t="s">
        <v>325</v>
      </c>
      <c r="I285" s="249" t="s">
        <v>74</v>
      </c>
      <c r="J285" s="36"/>
      <c r="K285" s="36"/>
    </row>
    <row r="286" spans="1:13" ht="15.75" customHeight="1" x14ac:dyDescent="0.25">
      <c r="A286" s="100" t="s">
        <v>28</v>
      </c>
      <c r="B286" s="100">
        <v>221</v>
      </c>
      <c r="C286" s="100">
        <v>287</v>
      </c>
      <c r="D286" s="100">
        <v>246</v>
      </c>
      <c r="E286" s="100">
        <v>258</v>
      </c>
      <c r="F286" s="100">
        <v>223</v>
      </c>
      <c r="G286" s="100">
        <v>234</v>
      </c>
      <c r="H286" s="100">
        <v>217</v>
      </c>
      <c r="I286" s="101">
        <v>1686</v>
      </c>
      <c r="J286" s="36"/>
      <c r="K286" s="36"/>
    </row>
    <row r="287" spans="1:13" ht="15.75" customHeight="1" x14ac:dyDescent="0.25">
      <c r="A287" s="100" t="s">
        <v>47</v>
      </c>
      <c r="B287" s="100">
        <v>190</v>
      </c>
      <c r="C287" s="100">
        <v>209</v>
      </c>
      <c r="D287" s="100">
        <v>218</v>
      </c>
      <c r="E287" s="100">
        <v>200</v>
      </c>
      <c r="F287" s="100">
        <v>234</v>
      </c>
      <c r="G287" s="100">
        <v>262</v>
      </c>
      <c r="H287" s="100">
        <v>291</v>
      </c>
      <c r="I287" s="101">
        <v>16004</v>
      </c>
      <c r="J287" s="36"/>
      <c r="K287" s="36"/>
    </row>
    <row r="288" spans="1:13" ht="15.75" customHeight="1" x14ac:dyDescent="0.25">
      <c r="A288" s="100" t="s">
        <v>82</v>
      </c>
      <c r="B288" s="100">
        <v>143</v>
      </c>
      <c r="C288" s="100">
        <v>25</v>
      </c>
      <c r="D288" s="100">
        <v>29</v>
      </c>
      <c r="E288" s="100">
        <v>72</v>
      </c>
      <c r="F288" s="100">
        <v>81</v>
      </c>
      <c r="G288" s="100">
        <v>97</v>
      </c>
      <c r="H288" s="100">
        <v>157</v>
      </c>
      <c r="I288" s="101">
        <v>604</v>
      </c>
      <c r="J288" s="36"/>
      <c r="K288" s="36"/>
    </row>
    <row r="289" spans="1:11" ht="15.75" customHeight="1" x14ac:dyDescent="0.25">
      <c r="A289" s="100" t="s">
        <v>101</v>
      </c>
      <c r="B289" s="100">
        <v>308</v>
      </c>
      <c r="C289" s="100">
        <v>226</v>
      </c>
      <c r="D289" s="100">
        <v>183</v>
      </c>
      <c r="E289" s="100">
        <v>198</v>
      </c>
      <c r="F289" s="100">
        <v>254</v>
      </c>
      <c r="G289" s="100">
        <v>305</v>
      </c>
      <c r="H289" s="100">
        <v>325</v>
      </c>
      <c r="I289" s="101">
        <v>1799</v>
      </c>
      <c r="J289" s="36"/>
      <c r="K289" s="36"/>
    </row>
    <row r="290" spans="1:11" ht="15.75" customHeight="1" x14ac:dyDescent="0.25">
      <c r="A290" s="100" t="s">
        <v>102</v>
      </c>
      <c r="B290" s="100">
        <v>61</v>
      </c>
      <c r="C290" s="100">
        <v>53</v>
      </c>
      <c r="D290" s="100">
        <v>75</v>
      </c>
      <c r="E290" s="100">
        <v>83</v>
      </c>
      <c r="F290" s="100">
        <v>53</v>
      </c>
      <c r="G290" s="100">
        <v>89</v>
      </c>
      <c r="H290" s="100">
        <v>137</v>
      </c>
      <c r="I290" s="101">
        <v>551</v>
      </c>
      <c r="J290" s="36"/>
      <c r="K290" s="36"/>
    </row>
    <row r="291" spans="1:11" ht="15.75" customHeight="1" x14ac:dyDescent="0.25">
      <c r="A291" s="100" t="s">
        <v>15</v>
      </c>
      <c r="B291" s="100">
        <v>304</v>
      </c>
      <c r="C291" s="100">
        <v>255</v>
      </c>
      <c r="D291" s="100">
        <v>231</v>
      </c>
      <c r="E291" s="100">
        <v>269</v>
      </c>
      <c r="F291" s="100">
        <v>247</v>
      </c>
      <c r="G291" s="100">
        <v>328</v>
      </c>
      <c r="H291" s="100">
        <v>450</v>
      </c>
      <c r="I291" s="101">
        <v>2084</v>
      </c>
      <c r="J291" s="36"/>
      <c r="K291" s="36"/>
    </row>
    <row r="292" spans="1:11" ht="15.75" customHeight="1" x14ac:dyDescent="0.25">
      <c r="A292" s="100" t="s">
        <v>81</v>
      </c>
      <c r="B292" s="100">
        <v>194</v>
      </c>
      <c r="C292" s="100">
        <v>199</v>
      </c>
      <c r="D292" s="100">
        <v>195</v>
      </c>
      <c r="E292" s="100">
        <v>241</v>
      </c>
      <c r="F292" s="100">
        <v>210</v>
      </c>
      <c r="G292" s="100">
        <v>393</v>
      </c>
      <c r="H292" s="100">
        <v>277</v>
      </c>
      <c r="I292" s="101">
        <v>1709</v>
      </c>
      <c r="J292" s="36"/>
      <c r="K292" s="36"/>
    </row>
    <row r="293" spans="1:11" ht="15.75" customHeight="1" x14ac:dyDescent="0.25">
      <c r="A293" s="100" t="s">
        <v>63</v>
      </c>
      <c r="B293" s="100">
        <v>299</v>
      </c>
      <c r="C293" s="100">
        <v>302</v>
      </c>
      <c r="D293" s="100">
        <v>313</v>
      </c>
      <c r="E293" s="100">
        <v>316</v>
      </c>
      <c r="F293" s="100">
        <v>383</v>
      </c>
      <c r="G293" s="100">
        <v>516</v>
      </c>
      <c r="H293" s="100">
        <v>477</v>
      </c>
      <c r="I293" s="101">
        <v>2606</v>
      </c>
      <c r="J293" s="36"/>
      <c r="K293" s="36"/>
    </row>
    <row r="294" spans="1:11" ht="15.75" customHeight="1" x14ac:dyDescent="0.25">
      <c r="A294" s="100" t="s">
        <v>103</v>
      </c>
      <c r="B294" s="100">
        <v>235</v>
      </c>
      <c r="C294" s="100">
        <v>212</v>
      </c>
      <c r="D294" s="100">
        <v>251</v>
      </c>
      <c r="E294" s="100">
        <v>254</v>
      </c>
      <c r="F294" s="100">
        <v>349</v>
      </c>
      <c r="G294" s="100">
        <v>410</v>
      </c>
      <c r="H294" s="100">
        <v>366</v>
      </c>
      <c r="I294" s="101">
        <v>2077</v>
      </c>
      <c r="J294" s="36"/>
      <c r="K294" s="36"/>
    </row>
    <row r="295" spans="1:11" ht="15.75" customHeight="1" x14ac:dyDescent="0.25">
      <c r="A295" s="100" t="s">
        <v>84</v>
      </c>
      <c r="B295" s="100">
        <v>237</v>
      </c>
      <c r="C295" s="100">
        <v>215</v>
      </c>
      <c r="D295" s="100">
        <v>230</v>
      </c>
      <c r="E295" s="100">
        <v>219</v>
      </c>
      <c r="F295" s="100">
        <v>261</v>
      </c>
      <c r="G295" s="100">
        <v>289</v>
      </c>
      <c r="H295" s="100">
        <v>281</v>
      </c>
      <c r="I295" s="101">
        <v>1732</v>
      </c>
      <c r="J295" s="36"/>
      <c r="K295" s="36"/>
    </row>
    <row r="296" spans="1:11" ht="15.75" customHeight="1" x14ac:dyDescent="0.25">
      <c r="A296" s="100" t="s">
        <v>104</v>
      </c>
      <c r="B296" s="100">
        <v>84</v>
      </c>
      <c r="C296" s="100">
        <v>88</v>
      </c>
      <c r="D296" s="100">
        <v>81</v>
      </c>
      <c r="E296" s="100">
        <v>105</v>
      </c>
      <c r="F296" s="100">
        <v>119</v>
      </c>
      <c r="G296" s="100">
        <v>134</v>
      </c>
      <c r="H296" s="100">
        <v>104</v>
      </c>
      <c r="I296" s="101">
        <v>715</v>
      </c>
      <c r="J296" s="36"/>
      <c r="K296" s="36"/>
    </row>
    <row r="297" spans="1:11" ht="15.75" customHeight="1" x14ac:dyDescent="0.25">
      <c r="A297" s="100" t="s">
        <v>85</v>
      </c>
      <c r="B297" s="100">
        <v>167</v>
      </c>
      <c r="C297" s="100">
        <v>170</v>
      </c>
      <c r="D297" s="100">
        <v>186</v>
      </c>
      <c r="E297" s="100">
        <v>152</v>
      </c>
      <c r="F297" s="100">
        <v>156</v>
      </c>
      <c r="G297" s="100">
        <v>208</v>
      </c>
      <c r="H297" s="100">
        <v>246</v>
      </c>
      <c r="I297" s="101">
        <v>1287</v>
      </c>
      <c r="J297" s="36"/>
      <c r="K297" s="36"/>
    </row>
    <row r="298" spans="1:11" ht="15.75" customHeight="1" x14ac:dyDescent="0.25">
      <c r="A298" s="100" t="s">
        <v>83</v>
      </c>
      <c r="B298" s="100">
        <v>272</v>
      </c>
      <c r="C298" s="100">
        <v>357</v>
      </c>
      <c r="D298" s="100">
        <v>341</v>
      </c>
      <c r="E298" s="100">
        <v>398</v>
      </c>
      <c r="F298" s="100">
        <v>439</v>
      </c>
      <c r="G298" s="100">
        <v>595</v>
      </c>
      <c r="H298" s="100">
        <v>425</v>
      </c>
      <c r="I298" s="101">
        <v>2827</v>
      </c>
      <c r="J298" s="36"/>
      <c r="K298" s="36"/>
    </row>
    <row r="299" spans="1:11" ht="15.75" customHeight="1" x14ac:dyDescent="0.25">
      <c r="A299" s="100" t="s">
        <v>86</v>
      </c>
      <c r="B299" s="100">
        <v>87</v>
      </c>
      <c r="C299" s="100">
        <v>81</v>
      </c>
      <c r="D299" s="100">
        <v>89</v>
      </c>
      <c r="E299" s="100">
        <v>80</v>
      </c>
      <c r="F299" s="100">
        <v>108</v>
      </c>
      <c r="G299" s="100">
        <v>93</v>
      </c>
      <c r="H299" s="100">
        <v>105</v>
      </c>
      <c r="I299" s="101">
        <v>643</v>
      </c>
      <c r="J299" s="36"/>
      <c r="K299" s="36"/>
    </row>
    <row r="300" spans="1:11" ht="15.75" customHeight="1" x14ac:dyDescent="0.25">
      <c r="A300" s="100" t="s">
        <v>105</v>
      </c>
      <c r="B300" s="100">
        <v>127</v>
      </c>
      <c r="C300" s="100">
        <v>134</v>
      </c>
      <c r="D300" s="100">
        <v>150</v>
      </c>
      <c r="E300" s="100">
        <v>128</v>
      </c>
      <c r="F300" s="267">
        <v>124</v>
      </c>
      <c r="G300" s="100">
        <v>179</v>
      </c>
      <c r="H300" s="264" t="s">
        <v>142</v>
      </c>
      <c r="I300" s="101">
        <v>842</v>
      </c>
      <c r="J300" s="36"/>
      <c r="K300" s="36"/>
    </row>
    <row r="301" spans="1:11" ht="15.75" customHeight="1" x14ac:dyDescent="0.25">
      <c r="A301" s="100" t="s">
        <v>106</v>
      </c>
      <c r="B301" s="100">
        <v>42</v>
      </c>
      <c r="C301" s="100">
        <v>42</v>
      </c>
      <c r="D301" s="100">
        <v>40</v>
      </c>
      <c r="E301" s="100">
        <v>50</v>
      </c>
      <c r="F301" s="100">
        <v>84</v>
      </c>
      <c r="G301" s="100">
        <v>57</v>
      </c>
      <c r="H301" s="100">
        <v>52</v>
      </c>
      <c r="I301" s="101">
        <v>367</v>
      </c>
      <c r="J301" s="36"/>
      <c r="K301" s="36"/>
    </row>
    <row r="302" spans="1:11" ht="15.75" customHeight="1" x14ac:dyDescent="0.25">
      <c r="A302" s="100" t="s">
        <v>107</v>
      </c>
      <c r="B302" s="100">
        <v>45</v>
      </c>
      <c r="C302" s="100">
        <v>47</v>
      </c>
      <c r="D302" s="100">
        <v>12</v>
      </c>
      <c r="E302" s="100">
        <v>46</v>
      </c>
      <c r="F302" s="100">
        <v>57</v>
      </c>
      <c r="G302" s="100">
        <v>66</v>
      </c>
      <c r="H302" s="267">
        <v>55</v>
      </c>
      <c r="I302" s="101">
        <v>328</v>
      </c>
      <c r="J302" s="36"/>
      <c r="K302" s="36"/>
    </row>
    <row r="303" spans="1:11" ht="15.75" customHeight="1" x14ac:dyDescent="0.25">
      <c r="A303" s="100" t="s">
        <v>108</v>
      </c>
      <c r="B303" s="100" t="s">
        <v>100</v>
      </c>
      <c r="C303" s="100" t="s">
        <v>100</v>
      </c>
      <c r="D303" s="247" t="s">
        <v>100</v>
      </c>
      <c r="E303" s="248" t="s">
        <v>100</v>
      </c>
      <c r="F303" s="100" t="s">
        <v>100</v>
      </c>
      <c r="G303" s="100" t="s">
        <v>100</v>
      </c>
      <c r="H303" s="100"/>
      <c r="I303" s="100"/>
      <c r="J303" s="36"/>
      <c r="K303" s="36"/>
    </row>
    <row r="304" spans="1:11" ht="15.75" customHeight="1" x14ac:dyDescent="0.25">
      <c r="A304" s="260"/>
      <c r="B304" s="257"/>
      <c r="C304" s="257"/>
      <c r="D304" s="257"/>
      <c r="E304" s="257"/>
      <c r="F304" s="257"/>
      <c r="G304" s="257"/>
      <c r="H304" s="254" t="s">
        <v>74</v>
      </c>
      <c r="I304" s="266">
        <f>SUM(I286:I303)</f>
        <v>37861</v>
      </c>
      <c r="J304" s="36"/>
      <c r="K304" s="36"/>
    </row>
    <row r="305" spans="1:13" ht="15.75" customHeight="1" x14ac:dyDescent="0.2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</row>
    <row r="306" spans="1:13" s="241" customFormat="1" ht="15.75" customHeight="1" x14ac:dyDescent="0.25">
      <c r="A306" s="100"/>
      <c r="B306" s="100"/>
      <c r="C306" s="287" t="s">
        <v>368</v>
      </c>
      <c r="D306" s="288"/>
      <c r="E306" s="288"/>
      <c r="F306" s="288"/>
      <c r="G306" s="288"/>
      <c r="H306" s="288"/>
      <c r="I306" s="100"/>
      <c r="J306" s="99"/>
      <c r="K306" s="99"/>
      <c r="L306" s="14"/>
      <c r="M306" s="14"/>
    </row>
    <row r="307" spans="1:13" ht="15.75" customHeight="1" x14ac:dyDescent="0.2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</row>
    <row r="308" spans="1:13" ht="15.75" customHeight="1" x14ac:dyDescent="0.2">
      <c r="A308" s="249" t="s">
        <v>92</v>
      </c>
      <c r="B308" s="250" t="s">
        <v>369</v>
      </c>
      <c r="C308" s="250" t="s">
        <v>370</v>
      </c>
      <c r="D308" s="251" t="s">
        <v>371</v>
      </c>
      <c r="E308" s="252" t="s">
        <v>372</v>
      </c>
      <c r="F308" s="250" t="s">
        <v>373</v>
      </c>
      <c r="G308" s="250" t="s">
        <v>374</v>
      </c>
      <c r="H308" s="250" t="s">
        <v>375</v>
      </c>
      <c r="I308" s="249" t="s">
        <v>74</v>
      </c>
      <c r="J308" s="36"/>
      <c r="K308" s="36"/>
    </row>
    <row r="309" spans="1:13" ht="15.75" customHeight="1" x14ac:dyDescent="0.25">
      <c r="A309" s="100" t="s">
        <v>28</v>
      </c>
      <c r="B309" s="100">
        <v>226</v>
      </c>
      <c r="C309" s="100">
        <v>222</v>
      </c>
      <c r="D309" s="100">
        <v>340</v>
      </c>
      <c r="E309" s="100">
        <v>243</v>
      </c>
      <c r="F309" s="100">
        <v>233</v>
      </c>
      <c r="G309" s="100">
        <v>270</v>
      </c>
      <c r="H309" s="100">
        <v>227</v>
      </c>
      <c r="I309" s="101">
        <f>SUM(B309:H309)</f>
        <v>1761</v>
      </c>
      <c r="J309" s="36"/>
      <c r="K309" s="36"/>
    </row>
    <row r="310" spans="1:13" ht="15.75" customHeight="1" x14ac:dyDescent="0.25">
      <c r="A310" s="100" t="s">
        <v>47</v>
      </c>
      <c r="B310" s="100">
        <v>203</v>
      </c>
      <c r="C310" s="100">
        <v>209</v>
      </c>
      <c r="D310" s="100">
        <v>187</v>
      </c>
      <c r="E310" s="100">
        <v>213</v>
      </c>
      <c r="F310" s="100">
        <v>227</v>
      </c>
      <c r="G310" s="100">
        <v>213</v>
      </c>
      <c r="H310" s="100">
        <v>228</v>
      </c>
      <c r="I310" s="101">
        <f t="shared" ref="I310:I326" si="0">SUM(B310:H310)</f>
        <v>1480</v>
      </c>
      <c r="J310" s="36"/>
      <c r="K310" s="36"/>
    </row>
    <row r="311" spans="1:13" ht="15.75" customHeight="1" x14ac:dyDescent="0.25">
      <c r="A311" s="100" t="s">
        <v>82</v>
      </c>
      <c r="B311" s="100">
        <v>47</v>
      </c>
      <c r="C311" s="100">
        <v>68</v>
      </c>
      <c r="D311" s="100">
        <v>58</v>
      </c>
      <c r="E311" s="100">
        <v>51</v>
      </c>
      <c r="F311" s="100">
        <v>62</v>
      </c>
      <c r="G311" s="100">
        <v>72</v>
      </c>
      <c r="H311" s="100">
        <v>132</v>
      </c>
      <c r="I311" s="101">
        <f t="shared" si="0"/>
        <v>490</v>
      </c>
      <c r="J311" s="36"/>
      <c r="K311" s="36"/>
    </row>
    <row r="312" spans="1:13" ht="15.75" customHeight="1" x14ac:dyDescent="0.25">
      <c r="A312" s="100" t="s">
        <v>101</v>
      </c>
      <c r="B312" s="100">
        <v>194</v>
      </c>
      <c r="C312" s="100">
        <v>214</v>
      </c>
      <c r="D312" s="100">
        <v>182</v>
      </c>
      <c r="E312" s="100">
        <v>185</v>
      </c>
      <c r="F312" s="100">
        <v>188</v>
      </c>
      <c r="G312" s="100">
        <v>273</v>
      </c>
      <c r="H312" s="100">
        <v>190</v>
      </c>
      <c r="I312" s="101">
        <f t="shared" si="0"/>
        <v>1426</v>
      </c>
      <c r="J312" s="36"/>
      <c r="K312" s="36"/>
    </row>
    <row r="313" spans="1:13" ht="15.75" customHeight="1" x14ac:dyDescent="0.25">
      <c r="A313" s="100" t="s">
        <v>102</v>
      </c>
      <c r="B313" s="100">
        <v>65</v>
      </c>
      <c r="C313" s="100">
        <v>75</v>
      </c>
      <c r="D313" s="100">
        <v>71</v>
      </c>
      <c r="E313" s="100">
        <v>70</v>
      </c>
      <c r="F313" s="100">
        <v>88</v>
      </c>
      <c r="G313" s="100">
        <v>94</v>
      </c>
      <c r="H313" s="100">
        <v>127</v>
      </c>
      <c r="I313" s="101">
        <f t="shared" si="0"/>
        <v>590</v>
      </c>
      <c r="J313" s="36"/>
      <c r="K313" s="36"/>
    </row>
    <row r="314" spans="1:13" ht="15.75" customHeight="1" x14ac:dyDescent="0.25">
      <c r="A314" s="100" t="s">
        <v>15</v>
      </c>
      <c r="B314" s="100">
        <v>232</v>
      </c>
      <c r="C314" s="100">
        <v>302</v>
      </c>
      <c r="D314" s="100">
        <v>271</v>
      </c>
      <c r="E314" s="100">
        <v>308</v>
      </c>
      <c r="F314" s="100">
        <v>272</v>
      </c>
      <c r="G314" s="100">
        <v>326</v>
      </c>
      <c r="H314" s="100">
        <v>361</v>
      </c>
      <c r="I314" s="101">
        <f>SUM(B314:H314)</f>
        <v>2072</v>
      </c>
      <c r="J314" s="36"/>
      <c r="K314" s="36"/>
    </row>
    <row r="315" spans="1:13" ht="15.75" customHeight="1" x14ac:dyDescent="0.25">
      <c r="A315" s="100" t="s">
        <v>81</v>
      </c>
      <c r="B315" s="100">
        <v>245</v>
      </c>
      <c r="C315" s="100">
        <v>191</v>
      </c>
      <c r="D315" s="100">
        <v>217</v>
      </c>
      <c r="E315" s="100">
        <v>242</v>
      </c>
      <c r="F315" s="100">
        <v>232</v>
      </c>
      <c r="G315" s="100">
        <v>319</v>
      </c>
      <c r="H315" s="100">
        <v>264</v>
      </c>
      <c r="I315" s="101">
        <f t="shared" si="0"/>
        <v>1710</v>
      </c>
      <c r="J315" s="36"/>
      <c r="K315" s="36"/>
    </row>
    <row r="316" spans="1:13" ht="15.75" customHeight="1" x14ac:dyDescent="0.25">
      <c r="A316" s="100" t="s">
        <v>63</v>
      </c>
      <c r="B316" s="100">
        <v>280</v>
      </c>
      <c r="C316" s="100">
        <v>278</v>
      </c>
      <c r="D316" s="100">
        <v>293</v>
      </c>
      <c r="E316" s="100">
        <v>282</v>
      </c>
      <c r="F316" s="100">
        <v>250</v>
      </c>
      <c r="G316" s="100">
        <v>465</v>
      </c>
      <c r="H316" s="100">
        <v>173</v>
      </c>
      <c r="I316" s="101">
        <f t="shared" si="0"/>
        <v>2021</v>
      </c>
      <c r="J316" s="36"/>
      <c r="K316" s="36"/>
    </row>
    <row r="317" spans="1:13" ht="15.75" customHeight="1" x14ac:dyDescent="0.25">
      <c r="A317" s="100" t="s">
        <v>103</v>
      </c>
      <c r="B317" s="100">
        <v>236</v>
      </c>
      <c r="C317" s="100">
        <v>246</v>
      </c>
      <c r="D317" s="100">
        <v>263</v>
      </c>
      <c r="E317" s="100">
        <v>216</v>
      </c>
      <c r="F317" s="100">
        <v>242</v>
      </c>
      <c r="G317" s="100">
        <v>342</v>
      </c>
      <c r="H317" s="100">
        <v>418</v>
      </c>
      <c r="I317" s="101">
        <f t="shared" si="0"/>
        <v>1963</v>
      </c>
      <c r="J317" s="36"/>
      <c r="K317" s="36"/>
    </row>
    <row r="318" spans="1:13" ht="15.75" customHeight="1" x14ac:dyDescent="0.25">
      <c r="A318" s="100" t="s">
        <v>84</v>
      </c>
      <c r="B318" s="100">
        <v>219</v>
      </c>
      <c r="C318" s="100">
        <v>205</v>
      </c>
      <c r="D318" s="100">
        <v>231</v>
      </c>
      <c r="E318" s="100">
        <v>281</v>
      </c>
      <c r="F318" s="100">
        <v>249</v>
      </c>
      <c r="G318" s="100">
        <v>301</v>
      </c>
      <c r="H318" s="100">
        <v>231</v>
      </c>
      <c r="I318" s="101">
        <f t="shared" si="0"/>
        <v>1717</v>
      </c>
      <c r="J318" s="36"/>
      <c r="K318" s="36"/>
    </row>
    <row r="319" spans="1:13" ht="15.75" customHeight="1" x14ac:dyDescent="0.25">
      <c r="A319" s="100" t="s">
        <v>104</v>
      </c>
      <c r="B319" s="100">
        <v>89</v>
      </c>
      <c r="C319" s="100">
        <v>97</v>
      </c>
      <c r="D319" s="100">
        <v>107</v>
      </c>
      <c r="E319" s="100">
        <v>93</v>
      </c>
      <c r="F319" s="100">
        <v>117</v>
      </c>
      <c r="G319" s="100">
        <v>109</v>
      </c>
      <c r="H319" s="100">
        <v>92</v>
      </c>
      <c r="I319" s="101">
        <f t="shared" si="0"/>
        <v>704</v>
      </c>
      <c r="J319" s="36"/>
      <c r="K319" s="36"/>
    </row>
    <row r="320" spans="1:13" ht="15.75" customHeight="1" x14ac:dyDescent="0.25">
      <c r="A320" s="100" t="s">
        <v>85</v>
      </c>
      <c r="B320" s="100">
        <v>151</v>
      </c>
      <c r="C320" s="100">
        <v>134</v>
      </c>
      <c r="D320" s="100">
        <v>147</v>
      </c>
      <c r="E320" s="100">
        <v>167</v>
      </c>
      <c r="F320" s="100">
        <v>169</v>
      </c>
      <c r="G320" s="100">
        <v>233</v>
      </c>
      <c r="H320" s="100">
        <v>154</v>
      </c>
      <c r="I320" s="101">
        <f t="shared" si="0"/>
        <v>1155</v>
      </c>
      <c r="J320" s="36"/>
      <c r="K320" s="36"/>
    </row>
    <row r="321" spans="1:13" ht="15.75" customHeight="1" x14ac:dyDescent="0.25">
      <c r="A321" s="100" t="s">
        <v>83</v>
      </c>
      <c r="B321" s="100">
        <v>335</v>
      </c>
      <c r="C321" s="100">
        <v>395</v>
      </c>
      <c r="D321" s="100">
        <v>504</v>
      </c>
      <c r="E321" s="100">
        <v>335</v>
      </c>
      <c r="F321" s="100">
        <v>308</v>
      </c>
      <c r="G321" s="100">
        <v>634</v>
      </c>
      <c r="H321" s="100">
        <v>316</v>
      </c>
      <c r="I321" s="101">
        <f t="shared" si="0"/>
        <v>2827</v>
      </c>
      <c r="J321" s="36"/>
      <c r="K321" s="36"/>
    </row>
    <row r="322" spans="1:13" ht="15.75" customHeight="1" x14ac:dyDescent="0.25">
      <c r="A322" s="100" t="s">
        <v>86</v>
      </c>
      <c r="B322" s="100">
        <v>70</v>
      </c>
      <c r="C322" s="100">
        <v>77</v>
      </c>
      <c r="D322" s="100">
        <v>105</v>
      </c>
      <c r="E322" s="100">
        <v>114</v>
      </c>
      <c r="F322" s="100">
        <v>100</v>
      </c>
      <c r="G322" s="100">
        <v>93</v>
      </c>
      <c r="H322" s="100">
        <v>120</v>
      </c>
      <c r="I322" s="101">
        <f t="shared" si="0"/>
        <v>679</v>
      </c>
      <c r="J322" s="36"/>
      <c r="K322" s="36"/>
    </row>
    <row r="323" spans="1:13" ht="15.75" customHeight="1" x14ac:dyDescent="0.25">
      <c r="A323" s="100" t="s">
        <v>105</v>
      </c>
      <c r="B323" s="100">
        <v>112</v>
      </c>
      <c r="C323" s="100">
        <v>146</v>
      </c>
      <c r="D323" s="100">
        <v>135</v>
      </c>
      <c r="E323" s="100">
        <v>126</v>
      </c>
      <c r="F323" s="267">
        <v>131</v>
      </c>
      <c r="G323" s="100">
        <v>161</v>
      </c>
      <c r="H323" s="264" t="s">
        <v>153</v>
      </c>
      <c r="I323" s="101">
        <f t="shared" si="0"/>
        <v>811</v>
      </c>
      <c r="J323" s="36"/>
      <c r="K323" s="36"/>
    </row>
    <row r="324" spans="1:13" ht="15.75" customHeight="1" x14ac:dyDescent="0.25">
      <c r="A324" s="100" t="s">
        <v>106</v>
      </c>
      <c r="B324" s="100">
        <v>80</v>
      </c>
      <c r="C324" s="100">
        <v>87</v>
      </c>
      <c r="D324" s="100">
        <v>86</v>
      </c>
      <c r="E324" s="100">
        <v>96</v>
      </c>
      <c r="F324" s="100">
        <v>104</v>
      </c>
      <c r="G324" s="100">
        <v>106</v>
      </c>
      <c r="H324" s="100">
        <v>118</v>
      </c>
      <c r="I324" s="101">
        <f t="shared" si="0"/>
        <v>677</v>
      </c>
      <c r="J324" s="36"/>
      <c r="K324" s="36"/>
    </row>
    <row r="325" spans="1:13" ht="15.75" customHeight="1" x14ac:dyDescent="0.25">
      <c r="A325" s="100" t="s">
        <v>107</v>
      </c>
      <c r="B325" s="100">
        <v>39</v>
      </c>
      <c r="C325" s="100">
        <v>22</v>
      </c>
      <c r="D325" s="100">
        <v>51</v>
      </c>
      <c r="E325" s="100">
        <v>51</v>
      </c>
      <c r="F325" s="100">
        <v>56</v>
      </c>
      <c r="G325" s="100">
        <v>103</v>
      </c>
      <c r="H325" s="264" t="s">
        <v>153</v>
      </c>
      <c r="I325" s="101">
        <f t="shared" si="0"/>
        <v>322</v>
      </c>
      <c r="J325" s="36"/>
      <c r="K325" s="36"/>
    </row>
    <row r="326" spans="1:13" ht="15.75" customHeight="1" x14ac:dyDescent="0.25">
      <c r="A326" s="100" t="s">
        <v>108</v>
      </c>
      <c r="B326" s="100" t="s">
        <v>100</v>
      </c>
      <c r="C326" s="100" t="s">
        <v>100</v>
      </c>
      <c r="D326" s="247" t="s">
        <v>100</v>
      </c>
      <c r="E326" s="248" t="s">
        <v>100</v>
      </c>
      <c r="F326" s="100" t="s">
        <v>100</v>
      </c>
      <c r="G326" s="100" t="s">
        <v>100</v>
      </c>
      <c r="H326" s="100" t="s">
        <v>100</v>
      </c>
      <c r="I326" s="101">
        <f t="shared" si="0"/>
        <v>0</v>
      </c>
      <c r="J326" s="36"/>
      <c r="K326" s="36"/>
    </row>
    <row r="327" spans="1:13" ht="15.75" customHeight="1" x14ac:dyDescent="0.25">
      <c r="A327" s="260"/>
      <c r="B327" s="257"/>
      <c r="C327" s="257"/>
      <c r="D327" s="257"/>
      <c r="E327" s="257"/>
      <c r="F327" s="257"/>
      <c r="G327" s="257"/>
      <c r="H327" s="254" t="s">
        <v>74</v>
      </c>
      <c r="I327" s="266">
        <f>SUM(I309:I326)</f>
        <v>22405</v>
      </c>
      <c r="J327" s="36"/>
      <c r="K327" s="36"/>
    </row>
    <row r="328" spans="1:13" ht="15.75" customHeight="1" x14ac:dyDescent="0.2"/>
    <row r="329" spans="1:13" s="241" customFormat="1" ht="15.75" customHeight="1" x14ac:dyDescent="0.25">
      <c r="A329" s="100"/>
      <c r="B329" s="100"/>
      <c r="C329" s="287" t="s">
        <v>381</v>
      </c>
      <c r="D329" s="288"/>
      <c r="E329" s="288"/>
      <c r="F329" s="288"/>
      <c r="G329" s="288"/>
      <c r="H329" s="288"/>
      <c r="I329" s="100"/>
      <c r="J329" s="99"/>
      <c r="K329" s="99"/>
      <c r="L329" s="14"/>
      <c r="M329" s="14"/>
    </row>
    <row r="330" spans="1:13" ht="15.75" customHeight="1" x14ac:dyDescent="0.2"/>
    <row r="331" spans="1:13" ht="15.75" customHeight="1" x14ac:dyDescent="0.2">
      <c r="A331" s="249" t="s">
        <v>92</v>
      </c>
      <c r="B331" s="250" t="s">
        <v>382</v>
      </c>
      <c r="C331" s="250" t="s">
        <v>383</v>
      </c>
      <c r="D331" s="251" t="s">
        <v>384</v>
      </c>
      <c r="E331" s="252" t="s">
        <v>385</v>
      </c>
      <c r="F331" s="250" t="s">
        <v>386</v>
      </c>
      <c r="G331" s="250" t="s">
        <v>387</v>
      </c>
      <c r="H331" s="250" t="s">
        <v>388</v>
      </c>
      <c r="I331" s="249" t="s">
        <v>74</v>
      </c>
      <c r="J331" s="246"/>
      <c r="K331" s="246"/>
    </row>
    <row r="332" spans="1:13" ht="15.75" customHeight="1" x14ac:dyDescent="0.25">
      <c r="A332" s="100" t="s">
        <v>28</v>
      </c>
      <c r="B332" s="100">
        <v>228</v>
      </c>
      <c r="C332" s="100">
        <v>222</v>
      </c>
      <c r="D332" s="100">
        <v>190</v>
      </c>
      <c r="E332" s="100">
        <v>208</v>
      </c>
      <c r="F332" s="100">
        <v>242</v>
      </c>
      <c r="G332" s="100">
        <v>270</v>
      </c>
      <c r="H332" s="100">
        <v>233</v>
      </c>
      <c r="I332" s="101">
        <f>SUM(B332:H332)</f>
        <v>1593</v>
      </c>
      <c r="J332" s="246"/>
      <c r="K332" s="246"/>
    </row>
    <row r="333" spans="1:13" ht="15.75" customHeight="1" x14ac:dyDescent="0.25">
      <c r="A333" s="100" t="s">
        <v>47</v>
      </c>
      <c r="B333" s="100">
        <v>208</v>
      </c>
      <c r="C333" s="100">
        <v>229</v>
      </c>
      <c r="D333" s="100">
        <v>202</v>
      </c>
      <c r="E333" s="100">
        <v>212</v>
      </c>
      <c r="F333" s="100">
        <v>228</v>
      </c>
      <c r="G333" s="100">
        <v>265</v>
      </c>
      <c r="H333" s="100">
        <v>248</v>
      </c>
      <c r="I333" s="101">
        <f t="shared" ref="I333:I336" si="1">SUM(B333:H333)</f>
        <v>1592</v>
      </c>
      <c r="J333" s="246"/>
      <c r="K333" s="246"/>
    </row>
    <row r="334" spans="1:13" ht="15.75" customHeight="1" x14ac:dyDescent="0.25">
      <c r="A334" s="100" t="s">
        <v>82</v>
      </c>
      <c r="B334" s="100">
        <v>65</v>
      </c>
      <c r="C334" s="100">
        <v>68</v>
      </c>
      <c r="D334" s="100">
        <v>41</v>
      </c>
      <c r="E334" s="100">
        <v>42</v>
      </c>
      <c r="F334" s="100">
        <v>59</v>
      </c>
      <c r="G334" s="100">
        <v>79</v>
      </c>
      <c r="H334" s="100">
        <v>123</v>
      </c>
      <c r="I334" s="101">
        <f t="shared" si="1"/>
        <v>477</v>
      </c>
      <c r="J334" s="246"/>
      <c r="K334" s="246"/>
    </row>
    <row r="335" spans="1:13" ht="15.75" customHeight="1" x14ac:dyDescent="0.25">
      <c r="A335" s="100" t="s">
        <v>101</v>
      </c>
      <c r="B335" s="100">
        <v>143</v>
      </c>
      <c r="C335" s="100">
        <v>141</v>
      </c>
      <c r="D335" s="100">
        <v>174</v>
      </c>
      <c r="E335" s="100">
        <v>191</v>
      </c>
      <c r="F335" s="100">
        <v>152</v>
      </c>
      <c r="G335" s="100">
        <v>227</v>
      </c>
      <c r="H335" s="100">
        <v>301</v>
      </c>
      <c r="I335" s="101">
        <f t="shared" si="1"/>
        <v>1329</v>
      </c>
      <c r="J335" s="246"/>
      <c r="K335" s="246"/>
    </row>
    <row r="336" spans="1:13" ht="15.75" customHeight="1" x14ac:dyDescent="0.25">
      <c r="A336" s="100" t="s">
        <v>102</v>
      </c>
      <c r="B336" s="100">
        <v>84</v>
      </c>
      <c r="C336" s="100">
        <v>79</v>
      </c>
      <c r="D336" s="100">
        <v>81</v>
      </c>
      <c r="E336" s="100">
        <v>63</v>
      </c>
      <c r="F336" s="100">
        <v>79</v>
      </c>
      <c r="G336" s="100">
        <v>107</v>
      </c>
      <c r="H336" s="100">
        <v>103</v>
      </c>
      <c r="I336" s="101">
        <f t="shared" si="1"/>
        <v>596</v>
      </c>
      <c r="J336" s="246"/>
      <c r="K336" s="246"/>
    </row>
    <row r="337" spans="1:13" ht="15.75" customHeight="1" x14ac:dyDescent="0.25">
      <c r="A337" s="100" t="s">
        <v>15</v>
      </c>
      <c r="B337" s="100">
        <v>258</v>
      </c>
      <c r="C337" s="100">
        <v>289</v>
      </c>
      <c r="D337" s="100">
        <v>287</v>
      </c>
      <c r="E337" s="100">
        <v>252</v>
      </c>
      <c r="F337" s="100">
        <v>303</v>
      </c>
      <c r="G337" s="100">
        <v>313</v>
      </c>
      <c r="H337" s="100">
        <v>315</v>
      </c>
      <c r="I337" s="101">
        <f>SUM(B337:H337)</f>
        <v>2017</v>
      </c>
      <c r="J337" s="246"/>
      <c r="K337" s="246"/>
    </row>
    <row r="338" spans="1:13" ht="15.75" customHeight="1" x14ac:dyDescent="0.25">
      <c r="A338" s="100" t="s">
        <v>81</v>
      </c>
      <c r="B338" s="100">
        <v>170</v>
      </c>
      <c r="C338" s="100">
        <v>161</v>
      </c>
      <c r="D338" s="100">
        <v>141</v>
      </c>
      <c r="E338" s="100">
        <v>197</v>
      </c>
      <c r="F338" s="100">
        <v>211</v>
      </c>
      <c r="G338" s="100">
        <v>268</v>
      </c>
      <c r="H338" s="100">
        <v>284</v>
      </c>
      <c r="I338" s="101">
        <f t="shared" ref="I338:I349" si="2">SUM(B338:H338)</f>
        <v>1432</v>
      </c>
      <c r="J338" s="246"/>
      <c r="K338" s="246"/>
    </row>
    <row r="339" spans="1:13" ht="15.75" customHeight="1" x14ac:dyDescent="0.25">
      <c r="A339" s="100" t="s">
        <v>63</v>
      </c>
      <c r="B339" s="100">
        <v>292</v>
      </c>
      <c r="C339" s="100">
        <v>295</v>
      </c>
      <c r="D339" s="100">
        <v>272</v>
      </c>
      <c r="E339" s="100">
        <v>322</v>
      </c>
      <c r="F339" s="100">
        <v>308</v>
      </c>
      <c r="G339" s="100">
        <v>506</v>
      </c>
      <c r="H339" s="100">
        <v>511</v>
      </c>
      <c r="I339" s="101">
        <f t="shared" si="2"/>
        <v>2506</v>
      </c>
      <c r="J339" s="246"/>
      <c r="K339" s="246"/>
    </row>
    <row r="340" spans="1:13" ht="15.75" customHeight="1" x14ac:dyDescent="0.25">
      <c r="A340" s="100" t="s">
        <v>103</v>
      </c>
      <c r="B340" s="100">
        <v>179</v>
      </c>
      <c r="C340" s="100">
        <v>287</v>
      </c>
      <c r="D340" s="100">
        <v>262</v>
      </c>
      <c r="E340" s="100">
        <v>214</v>
      </c>
      <c r="F340" s="100">
        <v>263</v>
      </c>
      <c r="G340" s="100">
        <v>370</v>
      </c>
      <c r="H340" s="100">
        <v>298</v>
      </c>
      <c r="I340" s="101">
        <f t="shared" si="2"/>
        <v>1873</v>
      </c>
      <c r="J340" s="246"/>
      <c r="K340" s="246"/>
    </row>
    <row r="341" spans="1:13" ht="15.75" customHeight="1" x14ac:dyDescent="0.25">
      <c r="A341" s="100" t="s">
        <v>84</v>
      </c>
      <c r="B341" s="100">
        <v>229</v>
      </c>
      <c r="C341" s="100">
        <v>216</v>
      </c>
      <c r="D341" s="100">
        <v>191</v>
      </c>
      <c r="E341" s="100">
        <v>245</v>
      </c>
      <c r="F341" s="100">
        <v>263</v>
      </c>
      <c r="G341" s="100">
        <v>268</v>
      </c>
      <c r="H341" s="100">
        <v>257</v>
      </c>
      <c r="I341" s="101">
        <f t="shared" si="2"/>
        <v>1669</v>
      </c>
      <c r="J341" s="246"/>
      <c r="K341" s="246"/>
    </row>
    <row r="342" spans="1:13" ht="15.75" customHeight="1" x14ac:dyDescent="0.25">
      <c r="A342" s="100" t="s">
        <v>104</v>
      </c>
      <c r="B342" s="100">
        <v>89</v>
      </c>
      <c r="C342" s="100">
        <v>89</v>
      </c>
      <c r="D342" s="100">
        <v>98</v>
      </c>
      <c r="E342" s="100">
        <v>89</v>
      </c>
      <c r="F342" s="100">
        <v>103</v>
      </c>
      <c r="G342" s="100">
        <v>117</v>
      </c>
      <c r="H342" s="100">
        <v>111</v>
      </c>
      <c r="I342" s="101">
        <f t="shared" si="2"/>
        <v>696</v>
      </c>
      <c r="J342" s="246"/>
      <c r="K342" s="246"/>
    </row>
    <row r="343" spans="1:13" ht="15.75" customHeight="1" x14ac:dyDescent="0.25">
      <c r="A343" s="100" t="s">
        <v>85</v>
      </c>
      <c r="B343" s="100">
        <v>131</v>
      </c>
      <c r="C343" s="100">
        <v>144</v>
      </c>
      <c r="D343" s="100">
        <v>174</v>
      </c>
      <c r="E343" s="100">
        <v>164</v>
      </c>
      <c r="F343" s="100">
        <v>142</v>
      </c>
      <c r="G343" s="100">
        <v>149</v>
      </c>
      <c r="H343" s="100">
        <v>111</v>
      </c>
      <c r="I343" s="101">
        <f t="shared" si="2"/>
        <v>1015</v>
      </c>
      <c r="J343" s="246"/>
      <c r="K343" s="246"/>
    </row>
    <row r="344" spans="1:13" ht="15.75" customHeight="1" x14ac:dyDescent="0.25">
      <c r="A344" s="100" t="s">
        <v>83</v>
      </c>
      <c r="B344" s="100">
        <v>361</v>
      </c>
      <c r="C344" s="100">
        <v>320</v>
      </c>
      <c r="D344" s="100">
        <v>411</v>
      </c>
      <c r="E344" s="100">
        <v>256</v>
      </c>
      <c r="F344" s="100">
        <v>486</v>
      </c>
      <c r="G344" s="100">
        <v>455</v>
      </c>
      <c r="H344" s="100">
        <v>502</v>
      </c>
      <c r="I344" s="101">
        <f t="shared" si="2"/>
        <v>2791</v>
      </c>
      <c r="J344" s="246"/>
      <c r="K344" s="246"/>
    </row>
    <row r="345" spans="1:13" ht="15.75" customHeight="1" x14ac:dyDescent="0.25">
      <c r="A345" s="100" t="s">
        <v>86</v>
      </c>
      <c r="B345" s="100">
        <v>65</v>
      </c>
      <c r="C345" s="100">
        <v>89</v>
      </c>
      <c r="D345" s="100">
        <v>86</v>
      </c>
      <c r="E345" s="100">
        <v>61</v>
      </c>
      <c r="F345" s="100">
        <v>95</v>
      </c>
      <c r="G345" s="100">
        <v>106</v>
      </c>
      <c r="H345" s="100">
        <v>150</v>
      </c>
      <c r="I345" s="101">
        <f t="shared" si="2"/>
        <v>652</v>
      </c>
      <c r="J345" s="246"/>
      <c r="K345" s="246"/>
    </row>
    <row r="346" spans="1:13" ht="15.75" customHeight="1" x14ac:dyDescent="0.25">
      <c r="A346" s="100" t="s">
        <v>105</v>
      </c>
      <c r="B346" s="100">
        <v>128</v>
      </c>
      <c r="C346" s="100">
        <v>124</v>
      </c>
      <c r="D346" s="100">
        <v>134</v>
      </c>
      <c r="E346" s="100">
        <v>131</v>
      </c>
      <c r="F346" s="267">
        <v>124</v>
      </c>
      <c r="G346" s="100">
        <v>142</v>
      </c>
      <c r="H346" s="264" t="s">
        <v>153</v>
      </c>
      <c r="I346" s="101">
        <f t="shared" si="2"/>
        <v>783</v>
      </c>
      <c r="J346" s="246"/>
      <c r="K346" s="246"/>
    </row>
    <row r="347" spans="1:13" ht="15.75" customHeight="1" x14ac:dyDescent="0.25">
      <c r="A347" s="100" t="s">
        <v>106</v>
      </c>
      <c r="B347" s="100">
        <v>88</v>
      </c>
      <c r="C347" s="100">
        <v>80</v>
      </c>
      <c r="D347" s="100">
        <v>83</v>
      </c>
      <c r="E347" s="100">
        <v>84</v>
      </c>
      <c r="F347" s="100">
        <v>101</v>
      </c>
      <c r="G347" s="100">
        <v>94</v>
      </c>
      <c r="H347" s="100">
        <v>82</v>
      </c>
      <c r="I347" s="101">
        <f t="shared" si="2"/>
        <v>612</v>
      </c>
      <c r="J347" s="246"/>
      <c r="K347" s="246"/>
    </row>
    <row r="348" spans="1:13" ht="15.75" customHeight="1" x14ac:dyDescent="0.25">
      <c r="A348" s="100" t="s">
        <v>107</v>
      </c>
      <c r="B348" s="100">
        <v>51</v>
      </c>
      <c r="C348" s="100">
        <v>42</v>
      </c>
      <c r="D348" s="100">
        <v>61</v>
      </c>
      <c r="E348" s="100">
        <v>42</v>
      </c>
      <c r="F348" s="100">
        <v>61</v>
      </c>
      <c r="G348" s="100">
        <v>56</v>
      </c>
      <c r="H348" s="264" t="s">
        <v>153</v>
      </c>
      <c r="I348" s="101">
        <f t="shared" si="2"/>
        <v>313</v>
      </c>
      <c r="J348" s="246"/>
      <c r="K348" s="246"/>
    </row>
    <row r="349" spans="1:13" ht="15.75" customHeight="1" x14ac:dyDescent="0.25">
      <c r="A349" s="100" t="s">
        <v>108</v>
      </c>
      <c r="B349" s="100" t="s">
        <v>100</v>
      </c>
      <c r="C349" s="100" t="s">
        <v>100</v>
      </c>
      <c r="D349" s="247" t="s">
        <v>100</v>
      </c>
      <c r="E349" s="248" t="s">
        <v>100</v>
      </c>
      <c r="F349" s="100" t="s">
        <v>100</v>
      </c>
      <c r="G349" s="100" t="s">
        <v>100</v>
      </c>
      <c r="H349" s="100" t="s">
        <v>100</v>
      </c>
      <c r="I349" s="101">
        <f t="shared" si="2"/>
        <v>0</v>
      </c>
      <c r="J349" s="246"/>
      <c r="K349" s="246"/>
    </row>
    <row r="350" spans="1:13" ht="15.75" customHeight="1" x14ac:dyDescent="0.25">
      <c r="A350" s="260"/>
      <c r="B350" s="257"/>
      <c r="C350" s="257"/>
      <c r="D350" s="257"/>
      <c r="E350" s="257"/>
      <c r="F350" s="257"/>
      <c r="G350" s="257"/>
      <c r="H350" s="254" t="s">
        <v>74</v>
      </c>
      <c r="I350" s="266">
        <f>SUM(I332:I349)</f>
        <v>21946</v>
      </c>
      <c r="J350" s="246"/>
      <c r="K350" s="246"/>
    </row>
    <row r="351" spans="1:13" ht="15.75" customHeight="1" x14ac:dyDescent="0.2"/>
    <row r="352" spans="1:13" s="241" customFormat="1" ht="15.75" customHeight="1" x14ac:dyDescent="0.25">
      <c r="A352" s="100"/>
      <c r="B352" s="100"/>
      <c r="C352" s="287" t="s">
        <v>397</v>
      </c>
      <c r="D352" s="288"/>
      <c r="E352" s="288"/>
      <c r="F352" s="288"/>
      <c r="G352" s="288"/>
      <c r="H352" s="288"/>
      <c r="I352" s="100"/>
      <c r="J352" s="99"/>
      <c r="K352" s="99"/>
      <c r="L352" s="14"/>
      <c r="M352" s="14"/>
    </row>
    <row r="353" spans="1:11" ht="15.75" customHeight="1" x14ac:dyDescent="0.2"/>
    <row r="354" spans="1:11" ht="15.75" customHeight="1" x14ac:dyDescent="0.2">
      <c r="A354" s="249" t="s">
        <v>92</v>
      </c>
      <c r="B354" s="250" t="s">
        <v>398</v>
      </c>
      <c r="C354" s="250" t="s">
        <v>399</v>
      </c>
      <c r="D354" s="251" t="s">
        <v>400</v>
      </c>
      <c r="E354" s="252" t="s">
        <v>401</v>
      </c>
      <c r="F354" s="250" t="s">
        <v>402</v>
      </c>
      <c r="G354" s="250" t="s">
        <v>403</v>
      </c>
      <c r="H354" s="250" t="s">
        <v>404</v>
      </c>
      <c r="I354" s="249" t="s">
        <v>74</v>
      </c>
      <c r="J354" s="278"/>
      <c r="K354" s="278"/>
    </row>
    <row r="355" spans="1:11" ht="15.75" customHeight="1" x14ac:dyDescent="0.25">
      <c r="A355" s="100" t="s">
        <v>28</v>
      </c>
      <c r="B355" s="100">
        <v>205</v>
      </c>
      <c r="C355" s="100">
        <v>214</v>
      </c>
      <c r="D355" s="100">
        <v>285</v>
      </c>
      <c r="E355" s="100">
        <v>223</v>
      </c>
      <c r="F355" s="100">
        <v>213</v>
      </c>
      <c r="G355" s="100">
        <v>299</v>
      </c>
      <c r="H355" s="100">
        <v>247</v>
      </c>
      <c r="I355" s="101">
        <f>SUM(B355:H355)</f>
        <v>1686</v>
      </c>
      <c r="J355" s="278"/>
      <c r="K355" s="278"/>
    </row>
    <row r="356" spans="1:11" ht="15.75" customHeight="1" x14ac:dyDescent="0.25">
      <c r="A356" s="100" t="s">
        <v>47</v>
      </c>
      <c r="B356" s="100">
        <v>185</v>
      </c>
      <c r="C356" s="100">
        <v>208</v>
      </c>
      <c r="D356" s="100">
        <v>209</v>
      </c>
      <c r="E356" s="100">
        <v>193</v>
      </c>
      <c r="F356" s="100">
        <v>205</v>
      </c>
      <c r="G356" s="100">
        <v>232</v>
      </c>
      <c r="H356" s="100">
        <v>232</v>
      </c>
      <c r="I356" s="101">
        <f t="shared" ref="I356:I359" si="3">SUM(B356:H356)</f>
        <v>1464</v>
      </c>
      <c r="J356" s="278"/>
      <c r="K356" s="278"/>
    </row>
    <row r="357" spans="1:11" ht="15.75" customHeight="1" x14ac:dyDescent="0.25">
      <c r="A357" s="100" t="s">
        <v>82</v>
      </c>
      <c r="B357" s="100">
        <v>43</v>
      </c>
      <c r="C357" s="100">
        <v>44</v>
      </c>
      <c r="D357" s="100">
        <v>102</v>
      </c>
      <c r="E357" s="100">
        <v>89</v>
      </c>
      <c r="F357" s="100">
        <v>74</v>
      </c>
      <c r="G357" s="100">
        <v>128</v>
      </c>
      <c r="H357" s="100">
        <v>106</v>
      </c>
      <c r="I357" s="101">
        <f t="shared" si="3"/>
        <v>586</v>
      </c>
      <c r="J357" s="278"/>
      <c r="K357" s="278"/>
    </row>
    <row r="358" spans="1:11" ht="15.75" customHeight="1" x14ac:dyDescent="0.25">
      <c r="A358" s="100" t="s">
        <v>101</v>
      </c>
      <c r="B358" s="100">
        <v>159</v>
      </c>
      <c r="C358" s="100">
        <v>192</v>
      </c>
      <c r="D358" s="100">
        <v>206</v>
      </c>
      <c r="E358" s="100">
        <v>201</v>
      </c>
      <c r="F358" s="100">
        <v>189</v>
      </c>
      <c r="G358" s="100">
        <v>320</v>
      </c>
      <c r="H358" s="100">
        <v>220</v>
      </c>
      <c r="I358" s="101">
        <f t="shared" si="3"/>
        <v>1487</v>
      </c>
      <c r="J358" s="278"/>
      <c r="K358" s="278"/>
    </row>
    <row r="359" spans="1:11" ht="15.75" customHeight="1" x14ac:dyDescent="0.25">
      <c r="A359" s="100" t="s">
        <v>102</v>
      </c>
      <c r="B359" s="100">
        <v>50</v>
      </c>
      <c r="C359" s="100">
        <v>74</v>
      </c>
      <c r="D359" s="100">
        <v>62</v>
      </c>
      <c r="E359" s="100">
        <v>80</v>
      </c>
      <c r="F359" s="100">
        <v>83</v>
      </c>
      <c r="G359" s="100">
        <v>127</v>
      </c>
      <c r="H359" s="100">
        <v>112</v>
      </c>
      <c r="I359" s="101">
        <f t="shared" si="3"/>
        <v>588</v>
      </c>
      <c r="J359" s="278"/>
      <c r="K359" s="278"/>
    </row>
    <row r="360" spans="1:11" ht="15.75" customHeight="1" x14ac:dyDescent="0.25">
      <c r="A360" s="100" t="s">
        <v>15</v>
      </c>
      <c r="B360" s="100">
        <v>257</v>
      </c>
      <c r="C360" s="100">
        <v>263</v>
      </c>
      <c r="D360" s="100">
        <v>198</v>
      </c>
      <c r="E360" s="100">
        <v>269</v>
      </c>
      <c r="F360" s="100">
        <v>324</v>
      </c>
      <c r="G360" s="100">
        <v>445</v>
      </c>
      <c r="H360" s="100">
        <v>446</v>
      </c>
      <c r="I360" s="101">
        <f>SUM(B360:H360)</f>
        <v>2202</v>
      </c>
      <c r="J360" s="278"/>
      <c r="K360" s="278"/>
    </row>
    <row r="361" spans="1:11" ht="15.75" customHeight="1" x14ac:dyDescent="0.25">
      <c r="A361" s="100" t="s">
        <v>81</v>
      </c>
      <c r="B361" s="100">
        <v>228</v>
      </c>
      <c r="C361" s="100">
        <v>208</v>
      </c>
      <c r="D361" s="100">
        <v>204</v>
      </c>
      <c r="E361" s="100">
        <v>256</v>
      </c>
      <c r="F361" s="100">
        <v>280</v>
      </c>
      <c r="G361" s="100">
        <v>541</v>
      </c>
      <c r="H361" s="100">
        <v>273</v>
      </c>
      <c r="I361" s="101">
        <f t="shared" ref="I361:I372" si="4">SUM(B361:H361)</f>
        <v>1990</v>
      </c>
      <c r="J361" s="278"/>
      <c r="K361" s="278"/>
    </row>
    <row r="362" spans="1:11" ht="15.75" customHeight="1" x14ac:dyDescent="0.25">
      <c r="A362" s="100" t="s">
        <v>63</v>
      </c>
      <c r="B362" s="100">
        <v>316</v>
      </c>
      <c r="C362" s="100">
        <v>293</v>
      </c>
      <c r="D362" s="100">
        <v>312</v>
      </c>
      <c r="E362" s="100">
        <v>304</v>
      </c>
      <c r="F362" s="100">
        <v>421</v>
      </c>
      <c r="G362" s="100">
        <v>533</v>
      </c>
      <c r="H362" s="100">
        <v>228</v>
      </c>
      <c r="I362" s="101">
        <f t="shared" si="4"/>
        <v>2407</v>
      </c>
      <c r="J362" s="278"/>
      <c r="K362" s="278"/>
    </row>
    <row r="363" spans="1:11" ht="15.75" customHeight="1" x14ac:dyDescent="0.25">
      <c r="A363" s="100" t="s">
        <v>103</v>
      </c>
      <c r="B363" s="100">
        <v>219</v>
      </c>
      <c r="C363" s="100">
        <v>273</v>
      </c>
      <c r="D363" s="100">
        <v>327</v>
      </c>
      <c r="E363" s="100">
        <v>291</v>
      </c>
      <c r="F363" s="100">
        <v>399</v>
      </c>
      <c r="G363" s="100">
        <v>497</v>
      </c>
      <c r="H363" s="100">
        <v>268</v>
      </c>
      <c r="I363" s="101">
        <f t="shared" si="4"/>
        <v>2274</v>
      </c>
      <c r="J363" s="278"/>
      <c r="K363" s="278"/>
    </row>
    <row r="364" spans="1:11" ht="15.75" customHeight="1" x14ac:dyDescent="0.25">
      <c r="A364" s="100" t="s">
        <v>84</v>
      </c>
      <c r="B364" s="100">
        <v>189</v>
      </c>
      <c r="C364" s="100">
        <v>180</v>
      </c>
      <c r="D364" s="100">
        <v>332</v>
      </c>
      <c r="E364" s="100">
        <v>208</v>
      </c>
      <c r="F364" s="100">
        <v>262</v>
      </c>
      <c r="G364" s="100">
        <v>479</v>
      </c>
      <c r="H364" s="100">
        <v>275</v>
      </c>
      <c r="I364" s="101">
        <f t="shared" si="4"/>
        <v>1925</v>
      </c>
      <c r="J364" s="278"/>
      <c r="K364" s="278"/>
    </row>
    <row r="365" spans="1:11" ht="15.75" customHeight="1" x14ac:dyDescent="0.25">
      <c r="A365" s="100" t="s">
        <v>104</v>
      </c>
      <c r="B365" s="100">
        <v>84</v>
      </c>
      <c r="C365" s="100">
        <v>95</v>
      </c>
      <c r="D365" s="100">
        <v>81</v>
      </c>
      <c r="E365" s="100">
        <v>114</v>
      </c>
      <c r="F365" s="100">
        <v>140</v>
      </c>
      <c r="G365" s="100">
        <v>181</v>
      </c>
      <c r="H365" s="100">
        <v>123</v>
      </c>
      <c r="I365" s="101">
        <f t="shared" si="4"/>
        <v>818</v>
      </c>
      <c r="J365" s="278"/>
      <c r="K365" s="278"/>
    </row>
    <row r="366" spans="1:11" ht="15.75" customHeight="1" x14ac:dyDescent="0.25">
      <c r="A366" s="100" t="s">
        <v>85</v>
      </c>
      <c r="B366" s="100">
        <v>154</v>
      </c>
      <c r="C366" s="100">
        <v>144</v>
      </c>
      <c r="D366" s="100">
        <v>155</v>
      </c>
      <c r="E366" s="100">
        <v>160</v>
      </c>
      <c r="F366" s="100">
        <v>162</v>
      </c>
      <c r="G366" s="100">
        <v>216</v>
      </c>
      <c r="H366" s="100">
        <v>109</v>
      </c>
      <c r="I366" s="101">
        <f t="shared" si="4"/>
        <v>1100</v>
      </c>
      <c r="J366" s="278"/>
      <c r="K366" s="278"/>
    </row>
    <row r="367" spans="1:11" ht="15.75" customHeight="1" x14ac:dyDescent="0.25">
      <c r="A367" s="100" t="s">
        <v>83</v>
      </c>
      <c r="B367" s="100">
        <v>423</v>
      </c>
      <c r="C367" s="100">
        <v>307</v>
      </c>
      <c r="D367" s="100">
        <v>373</v>
      </c>
      <c r="E367" s="100">
        <v>427</v>
      </c>
      <c r="F367" s="100">
        <v>506</v>
      </c>
      <c r="G367" s="100">
        <v>785</v>
      </c>
      <c r="H367" s="100">
        <v>494</v>
      </c>
      <c r="I367" s="101">
        <f t="shared" si="4"/>
        <v>3315</v>
      </c>
      <c r="J367" s="278"/>
      <c r="K367" s="278"/>
    </row>
    <row r="368" spans="1:11" ht="15.75" customHeight="1" x14ac:dyDescent="0.25">
      <c r="A368" s="100" t="s">
        <v>86</v>
      </c>
      <c r="B368" s="100">
        <v>80</v>
      </c>
      <c r="C368" s="100">
        <v>90</v>
      </c>
      <c r="D368" s="100">
        <v>80</v>
      </c>
      <c r="E368" s="100">
        <v>90</v>
      </c>
      <c r="F368" s="100">
        <v>100</v>
      </c>
      <c r="G368" s="100">
        <v>174</v>
      </c>
      <c r="H368" s="100">
        <v>155</v>
      </c>
      <c r="I368" s="101">
        <f t="shared" si="4"/>
        <v>769</v>
      </c>
      <c r="J368" s="278"/>
      <c r="K368" s="278"/>
    </row>
    <row r="369" spans="1:13" ht="15.75" customHeight="1" x14ac:dyDescent="0.25">
      <c r="A369" s="100" t="s">
        <v>105</v>
      </c>
      <c r="B369" s="100">
        <v>140</v>
      </c>
      <c r="C369" s="100">
        <v>143</v>
      </c>
      <c r="D369" s="100">
        <v>150</v>
      </c>
      <c r="E369" s="100">
        <v>156</v>
      </c>
      <c r="F369" s="267">
        <v>176</v>
      </c>
      <c r="G369" s="100">
        <v>229</v>
      </c>
      <c r="H369" s="264" t="s">
        <v>153</v>
      </c>
      <c r="I369" s="101">
        <f t="shared" si="4"/>
        <v>994</v>
      </c>
      <c r="J369" s="278"/>
      <c r="K369" s="278"/>
    </row>
    <row r="370" spans="1:13" ht="15.75" customHeight="1" x14ac:dyDescent="0.25">
      <c r="A370" s="100" t="s">
        <v>106</v>
      </c>
      <c r="B370" s="100">
        <v>74</v>
      </c>
      <c r="C370" s="100">
        <v>90</v>
      </c>
      <c r="D370" s="100">
        <v>66</v>
      </c>
      <c r="E370" s="100">
        <v>63</v>
      </c>
      <c r="F370" s="100">
        <v>68</v>
      </c>
      <c r="G370" s="100">
        <v>93</v>
      </c>
      <c r="H370" s="100">
        <v>98</v>
      </c>
      <c r="I370" s="101">
        <f t="shared" si="4"/>
        <v>552</v>
      </c>
      <c r="J370" s="278"/>
      <c r="K370" s="278"/>
    </row>
    <row r="371" spans="1:13" ht="15.75" customHeight="1" x14ac:dyDescent="0.25">
      <c r="A371" s="100" t="s">
        <v>107</v>
      </c>
      <c r="B371" s="100">
        <v>28</v>
      </c>
      <c r="C371" s="100">
        <v>57</v>
      </c>
      <c r="D371" s="264" t="s">
        <v>153</v>
      </c>
      <c r="E371" s="100">
        <v>34</v>
      </c>
      <c r="F371" s="100">
        <v>33</v>
      </c>
      <c r="G371" s="100">
        <v>78</v>
      </c>
      <c r="H371" s="267">
        <v>28</v>
      </c>
      <c r="I371" s="101">
        <v>258</v>
      </c>
      <c r="J371" s="278"/>
      <c r="K371" s="278"/>
    </row>
    <row r="372" spans="1:13" ht="15.75" customHeight="1" x14ac:dyDescent="0.25">
      <c r="A372" s="100" t="s">
        <v>108</v>
      </c>
      <c r="B372" s="100" t="s">
        <v>100</v>
      </c>
      <c r="C372" s="100" t="s">
        <v>100</v>
      </c>
      <c r="D372" s="247" t="s">
        <v>100</v>
      </c>
      <c r="E372" s="248" t="s">
        <v>100</v>
      </c>
      <c r="F372" s="100" t="s">
        <v>100</v>
      </c>
      <c r="G372" s="100" t="s">
        <v>100</v>
      </c>
      <c r="H372" s="100" t="s">
        <v>100</v>
      </c>
      <c r="I372" s="101">
        <f t="shared" si="4"/>
        <v>0</v>
      </c>
      <c r="J372" s="278"/>
      <c r="K372" s="278"/>
    </row>
    <row r="373" spans="1:13" ht="15.75" customHeight="1" x14ac:dyDescent="0.25">
      <c r="A373" s="260"/>
      <c r="B373" s="257"/>
      <c r="C373" s="257"/>
      <c r="D373" s="257"/>
      <c r="E373" s="257"/>
      <c r="F373" s="257"/>
      <c r="G373" s="257"/>
      <c r="H373" s="254" t="s">
        <v>74</v>
      </c>
      <c r="I373" s="266">
        <f>SUM(I355:I372)</f>
        <v>24415</v>
      </c>
      <c r="J373" s="278"/>
      <c r="K373" s="278"/>
    </row>
    <row r="374" spans="1:13" ht="15.75" customHeight="1" x14ac:dyDescent="0.2"/>
    <row r="375" spans="1:13" s="241" customFormat="1" ht="15.75" customHeight="1" x14ac:dyDescent="0.25">
      <c r="A375" s="100"/>
      <c r="B375" s="100"/>
      <c r="C375" s="287" t="s">
        <v>405</v>
      </c>
      <c r="D375" s="288"/>
      <c r="E375" s="288"/>
      <c r="F375" s="288"/>
      <c r="G375" s="288"/>
      <c r="H375" s="288"/>
      <c r="I375" s="100"/>
      <c r="J375" s="99"/>
      <c r="K375" s="99"/>
      <c r="L375" s="14"/>
      <c r="M375" s="14"/>
    </row>
    <row r="376" spans="1:13" ht="15.75" customHeight="1" x14ac:dyDescent="0.2"/>
    <row r="377" spans="1:13" ht="15.75" customHeight="1" x14ac:dyDescent="0.2">
      <c r="A377" s="249" t="s">
        <v>92</v>
      </c>
      <c r="B377" s="250" t="s">
        <v>406</v>
      </c>
      <c r="C377" s="250" t="s">
        <v>407</v>
      </c>
      <c r="D377" s="251" t="s">
        <v>408</v>
      </c>
      <c r="E377" s="252" t="s">
        <v>409</v>
      </c>
      <c r="F377" s="250" t="s">
        <v>410</v>
      </c>
      <c r="G377" s="250" t="s">
        <v>411</v>
      </c>
      <c r="H377" s="250" t="s">
        <v>412</v>
      </c>
      <c r="I377" s="249" t="s">
        <v>74</v>
      </c>
      <c r="J377" s="279"/>
      <c r="K377" s="279"/>
    </row>
    <row r="378" spans="1:13" ht="15.75" customHeight="1" x14ac:dyDescent="0.25">
      <c r="A378" s="100" t="s">
        <v>28</v>
      </c>
      <c r="B378" s="100">
        <v>204</v>
      </c>
      <c r="C378" s="100">
        <v>187</v>
      </c>
      <c r="D378" s="100">
        <v>223</v>
      </c>
      <c r="E378" s="100">
        <v>215</v>
      </c>
      <c r="F378" s="100">
        <v>213</v>
      </c>
      <c r="G378" s="100">
        <v>227</v>
      </c>
      <c r="H378" s="100">
        <v>232</v>
      </c>
      <c r="I378" s="101">
        <f>SUM(B378:H378)</f>
        <v>1501</v>
      </c>
      <c r="J378" s="279"/>
      <c r="K378" s="279"/>
    </row>
    <row r="379" spans="1:13" ht="15.75" customHeight="1" x14ac:dyDescent="0.25">
      <c r="A379" s="100" t="s">
        <v>47</v>
      </c>
      <c r="B379" s="100">
        <v>219</v>
      </c>
      <c r="C379" s="100">
        <v>212</v>
      </c>
      <c r="D379" s="100">
        <v>202</v>
      </c>
      <c r="E379" s="100">
        <v>197</v>
      </c>
      <c r="F379" s="100">
        <v>223</v>
      </c>
      <c r="G379" s="100">
        <v>212</v>
      </c>
      <c r="H379" s="100">
        <v>223</v>
      </c>
      <c r="I379" s="101">
        <f t="shared" ref="I379:I382" si="5">SUM(B379:H379)</f>
        <v>1488</v>
      </c>
      <c r="J379" s="279"/>
      <c r="K379" s="279"/>
    </row>
    <row r="380" spans="1:13" ht="15.75" customHeight="1" x14ac:dyDescent="0.25">
      <c r="A380" s="100" t="s">
        <v>82</v>
      </c>
      <c r="B380" s="100">
        <v>46</v>
      </c>
      <c r="C380" s="100">
        <v>45</v>
      </c>
      <c r="D380" s="100">
        <v>37</v>
      </c>
      <c r="E380" s="100">
        <v>33</v>
      </c>
      <c r="F380" s="100">
        <v>80</v>
      </c>
      <c r="G380" s="100">
        <v>65</v>
      </c>
      <c r="H380" s="100">
        <v>110</v>
      </c>
      <c r="I380" s="101">
        <f t="shared" si="5"/>
        <v>416</v>
      </c>
      <c r="J380" s="279"/>
      <c r="K380" s="279"/>
    </row>
    <row r="381" spans="1:13" ht="15.75" customHeight="1" x14ac:dyDescent="0.25">
      <c r="A381" s="100" t="s">
        <v>101</v>
      </c>
      <c r="B381" s="100">
        <v>195</v>
      </c>
      <c r="C381" s="100">
        <v>196</v>
      </c>
      <c r="D381" s="100">
        <v>195</v>
      </c>
      <c r="E381" s="100">
        <v>182</v>
      </c>
      <c r="F381" s="100">
        <v>220</v>
      </c>
      <c r="G381" s="100">
        <v>235</v>
      </c>
      <c r="H381" s="100">
        <v>305</v>
      </c>
      <c r="I381" s="101">
        <f t="shared" si="5"/>
        <v>1528</v>
      </c>
      <c r="J381" s="279"/>
      <c r="K381" s="279"/>
    </row>
    <row r="382" spans="1:13" ht="15.75" customHeight="1" x14ac:dyDescent="0.25">
      <c r="A382" s="100" t="s">
        <v>102</v>
      </c>
      <c r="B382" s="100">
        <v>81</v>
      </c>
      <c r="C382" s="100">
        <v>78</v>
      </c>
      <c r="D382" s="100">
        <v>77</v>
      </c>
      <c r="E382" s="100">
        <v>79</v>
      </c>
      <c r="F382" s="100">
        <v>58</v>
      </c>
      <c r="G382" s="100">
        <v>77</v>
      </c>
      <c r="H382" s="100">
        <v>120</v>
      </c>
      <c r="I382" s="101">
        <f t="shared" si="5"/>
        <v>570</v>
      </c>
      <c r="J382" s="279"/>
      <c r="K382" s="279"/>
    </row>
    <row r="383" spans="1:13" ht="15.75" customHeight="1" x14ac:dyDescent="0.25">
      <c r="A383" s="100" t="s">
        <v>15</v>
      </c>
      <c r="B383" s="100">
        <v>248</v>
      </c>
      <c r="C383" s="100">
        <v>241</v>
      </c>
      <c r="D383" s="100">
        <v>271</v>
      </c>
      <c r="E383" s="100">
        <v>265</v>
      </c>
      <c r="F383" s="100">
        <v>254</v>
      </c>
      <c r="G383" s="100">
        <v>321</v>
      </c>
      <c r="H383" s="100">
        <v>347</v>
      </c>
      <c r="I383" s="101">
        <f>SUM(B383:H383)</f>
        <v>1947</v>
      </c>
      <c r="J383" s="279"/>
      <c r="K383" s="279"/>
    </row>
    <row r="384" spans="1:13" ht="15.75" customHeight="1" x14ac:dyDescent="0.25">
      <c r="A384" s="100" t="s">
        <v>81</v>
      </c>
      <c r="B384" s="100">
        <v>244</v>
      </c>
      <c r="C384" s="100">
        <v>238</v>
      </c>
      <c r="D384" s="100">
        <v>195</v>
      </c>
      <c r="E384" s="100">
        <v>215</v>
      </c>
      <c r="F384" s="100">
        <v>260</v>
      </c>
      <c r="G384" s="100">
        <v>354</v>
      </c>
      <c r="H384" s="100">
        <v>444</v>
      </c>
      <c r="I384" s="101">
        <f t="shared" ref="I384:I394" si="6">SUM(B384:H384)</f>
        <v>1950</v>
      </c>
      <c r="J384" s="279"/>
      <c r="K384" s="279"/>
    </row>
    <row r="385" spans="1:13" ht="15.75" customHeight="1" x14ac:dyDescent="0.25">
      <c r="A385" s="100" t="s">
        <v>63</v>
      </c>
      <c r="B385" s="100">
        <v>251</v>
      </c>
      <c r="C385" s="100">
        <v>256</v>
      </c>
      <c r="D385" s="100">
        <v>272</v>
      </c>
      <c r="E385" s="100">
        <v>266</v>
      </c>
      <c r="F385" s="100">
        <v>273</v>
      </c>
      <c r="G385" s="100">
        <v>402</v>
      </c>
      <c r="H385" s="100">
        <v>507</v>
      </c>
      <c r="I385" s="101">
        <f t="shared" si="6"/>
        <v>2227</v>
      </c>
      <c r="J385" s="279"/>
      <c r="K385" s="279"/>
    </row>
    <row r="386" spans="1:13" ht="15.75" customHeight="1" x14ac:dyDescent="0.25">
      <c r="A386" s="100" t="s">
        <v>103</v>
      </c>
      <c r="B386" s="100">
        <v>220</v>
      </c>
      <c r="C386" s="100">
        <v>243</v>
      </c>
      <c r="D386" s="100">
        <v>261</v>
      </c>
      <c r="E386" s="100">
        <v>272</v>
      </c>
      <c r="F386" s="100">
        <v>382</v>
      </c>
      <c r="G386" s="100">
        <v>528</v>
      </c>
      <c r="H386" s="100">
        <v>494</v>
      </c>
      <c r="I386" s="101">
        <f t="shared" si="6"/>
        <v>2400</v>
      </c>
      <c r="J386" s="279"/>
      <c r="K386" s="279"/>
    </row>
    <row r="387" spans="1:13" ht="15.75" customHeight="1" x14ac:dyDescent="0.25">
      <c r="A387" s="100" t="s">
        <v>84</v>
      </c>
      <c r="B387" s="100">
        <v>244</v>
      </c>
      <c r="C387" s="100">
        <v>241</v>
      </c>
      <c r="D387" s="100">
        <v>190</v>
      </c>
      <c r="E387" s="100">
        <v>180</v>
      </c>
      <c r="F387" s="100">
        <v>209</v>
      </c>
      <c r="G387" s="100">
        <v>265</v>
      </c>
      <c r="H387" s="100">
        <v>254</v>
      </c>
      <c r="I387" s="101">
        <f t="shared" si="6"/>
        <v>1583</v>
      </c>
      <c r="J387" s="279"/>
      <c r="K387" s="279"/>
    </row>
    <row r="388" spans="1:13" ht="15.75" customHeight="1" x14ac:dyDescent="0.25">
      <c r="A388" s="100" t="s">
        <v>104</v>
      </c>
      <c r="B388" s="100">
        <v>80</v>
      </c>
      <c r="C388" s="100">
        <v>96</v>
      </c>
      <c r="D388" s="100">
        <v>59</v>
      </c>
      <c r="E388" s="100">
        <v>62</v>
      </c>
      <c r="F388" s="100">
        <v>91</v>
      </c>
      <c r="G388" s="100">
        <v>77</v>
      </c>
      <c r="H388" s="100">
        <v>81</v>
      </c>
      <c r="I388" s="101">
        <f t="shared" si="6"/>
        <v>546</v>
      </c>
      <c r="J388" s="279"/>
      <c r="K388" s="279"/>
    </row>
    <row r="389" spans="1:13" ht="15.75" customHeight="1" x14ac:dyDescent="0.25">
      <c r="A389" s="100" t="s">
        <v>85</v>
      </c>
      <c r="B389" s="100">
        <v>139</v>
      </c>
      <c r="C389" s="100">
        <v>154</v>
      </c>
      <c r="D389" s="100">
        <v>149</v>
      </c>
      <c r="E389" s="100">
        <v>155</v>
      </c>
      <c r="F389" s="100">
        <v>149</v>
      </c>
      <c r="G389" s="100">
        <v>175</v>
      </c>
      <c r="H389" s="100">
        <v>214</v>
      </c>
      <c r="I389" s="101">
        <f t="shared" si="6"/>
        <v>1135</v>
      </c>
      <c r="J389" s="279"/>
      <c r="K389" s="279"/>
    </row>
    <row r="390" spans="1:13" ht="15.75" customHeight="1" x14ac:dyDescent="0.25">
      <c r="A390" s="100" t="s">
        <v>83</v>
      </c>
      <c r="B390" s="100">
        <v>330</v>
      </c>
      <c r="C390" s="100">
        <v>318</v>
      </c>
      <c r="D390" s="100">
        <v>434</v>
      </c>
      <c r="E390" s="100">
        <v>309</v>
      </c>
      <c r="F390" s="100">
        <v>401</v>
      </c>
      <c r="G390" s="100">
        <v>460</v>
      </c>
      <c r="H390" s="100">
        <v>262</v>
      </c>
      <c r="I390" s="101">
        <f t="shared" si="6"/>
        <v>2514</v>
      </c>
      <c r="J390" s="279"/>
      <c r="K390" s="279"/>
    </row>
    <row r="391" spans="1:13" ht="15.75" customHeight="1" x14ac:dyDescent="0.25">
      <c r="A391" s="100" t="s">
        <v>86</v>
      </c>
      <c r="B391" s="100">
        <v>85</v>
      </c>
      <c r="C391" s="100">
        <v>80</v>
      </c>
      <c r="D391" s="100">
        <v>86</v>
      </c>
      <c r="E391" s="100">
        <v>85</v>
      </c>
      <c r="F391" s="100">
        <v>95</v>
      </c>
      <c r="G391" s="100">
        <v>105</v>
      </c>
      <c r="H391" s="100">
        <v>95</v>
      </c>
      <c r="I391" s="101">
        <f t="shared" si="6"/>
        <v>631</v>
      </c>
      <c r="J391" s="279"/>
      <c r="K391" s="279"/>
    </row>
    <row r="392" spans="1:13" ht="15.75" customHeight="1" x14ac:dyDescent="0.25">
      <c r="A392" s="100" t="s">
        <v>105</v>
      </c>
      <c r="B392" s="100">
        <v>133</v>
      </c>
      <c r="C392" s="100">
        <v>136</v>
      </c>
      <c r="D392" s="100">
        <v>121</v>
      </c>
      <c r="E392" s="100">
        <v>105</v>
      </c>
      <c r="F392" s="267">
        <v>135</v>
      </c>
      <c r="G392" s="100">
        <v>157</v>
      </c>
      <c r="H392" s="267">
        <v>99</v>
      </c>
      <c r="I392" s="101">
        <f t="shared" si="6"/>
        <v>886</v>
      </c>
      <c r="J392" s="279"/>
      <c r="K392" s="279"/>
    </row>
    <row r="393" spans="1:13" ht="15.75" customHeight="1" x14ac:dyDescent="0.25">
      <c r="A393" s="100" t="s">
        <v>106</v>
      </c>
      <c r="B393" s="100">
        <v>84</v>
      </c>
      <c r="C393" s="100">
        <v>52</v>
      </c>
      <c r="D393" s="100">
        <v>67</v>
      </c>
      <c r="E393" s="100">
        <v>76</v>
      </c>
      <c r="F393" s="100">
        <v>70</v>
      </c>
      <c r="G393" s="100">
        <v>191</v>
      </c>
      <c r="H393" s="100">
        <v>105</v>
      </c>
      <c r="I393" s="101">
        <f t="shared" si="6"/>
        <v>645</v>
      </c>
      <c r="J393" s="279"/>
      <c r="K393" s="279"/>
    </row>
    <row r="394" spans="1:13" ht="15.75" customHeight="1" x14ac:dyDescent="0.25">
      <c r="A394" s="100" t="s">
        <v>107</v>
      </c>
      <c r="B394" s="100">
        <v>32</v>
      </c>
      <c r="C394" s="100">
        <v>38</v>
      </c>
      <c r="D394" s="267">
        <v>42</v>
      </c>
      <c r="E394" s="100">
        <v>39</v>
      </c>
      <c r="F394" s="100">
        <v>39</v>
      </c>
      <c r="G394" s="100">
        <v>36</v>
      </c>
      <c r="H394" s="267">
        <v>38</v>
      </c>
      <c r="I394" s="101">
        <f t="shared" si="6"/>
        <v>264</v>
      </c>
      <c r="J394" s="279"/>
      <c r="K394" s="279"/>
    </row>
    <row r="395" spans="1:13" ht="15.75" customHeight="1" x14ac:dyDescent="0.25">
      <c r="A395" s="100" t="s">
        <v>108</v>
      </c>
      <c r="B395" s="100" t="s">
        <v>100</v>
      </c>
      <c r="C395" s="100" t="s">
        <v>100</v>
      </c>
      <c r="D395" s="247" t="s">
        <v>100</v>
      </c>
      <c r="E395" s="248" t="s">
        <v>100</v>
      </c>
      <c r="F395" s="100" t="s">
        <v>100</v>
      </c>
      <c r="G395" s="100" t="s">
        <v>100</v>
      </c>
      <c r="H395" s="100" t="s">
        <v>100</v>
      </c>
      <c r="I395" s="101">
        <f t="shared" ref="I395" si="7">SUM(B395:H395)</f>
        <v>0</v>
      </c>
      <c r="J395" s="279"/>
      <c r="K395" s="279"/>
    </row>
    <row r="396" spans="1:13" ht="15.75" customHeight="1" x14ac:dyDescent="0.25">
      <c r="A396" s="260"/>
      <c r="B396" s="257"/>
      <c r="C396" s="257"/>
      <c r="D396" s="257"/>
      <c r="E396" s="257"/>
      <c r="F396" s="257"/>
      <c r="G396" s="257"/>
      <c r="H396" s="254" t="s">
        <v>74</v>
      </c>
      <c r="I396" s="266">
        <f>SUM(I378:I395)</f>
        <v>22231</v>
      </c>
      <c r="J396" s="279"/>
      <c r="K396" s="279"/>
    </row>
    <row r="397" spans="1:13" ht="15.75" customHeight="1" x14ac:dyDescent="0.2"/>
    <row r="398" spans="1:13" s="241" customFormat="1" ht="15.75" customHeight="1" x14ac:dyDescent="0.25">
      <c r="A398" s="100"/>
      <c r="B398" s="100"/>
      <c r="C398" s="287" t="s">
        <v>413</v>
      </c>
      <c r="D398" s="288"/>
      <c r="E398" s="288"/>
      <c r="F398" s="288"/>
      <c r="G398" s="288"/>
      <c r="H398" s="288"/>
      <c r="I398" s="100"/>
      <c r="J398" s="99"/>
      <c r="K398" s="99"/>
      <c r="L398" s="14"/>
      <c r="M398" s="14"/>
    </row>
    <row r="399" spans="1:13" ht="15.75" customHeight="1" x14ac:dyDescent="0.2"/>
    <row r="400" spans="1:13" ht="15.75" customHeight="1" x14ac:dyDescent="0.2">
      <c r="A400" s="249" t="s">
        <v>92</v>
      </c>
      <c r="B400" s="250" t="s">
        <v>414</v>
      </c>
      <c r="C400" s="250" t="s">
        <v>415</v>
      </c>
      <c r="D400" s="251" t="s">
        <v>137</v>
      </c>
      <c r="E400" s="252" t="s">
        <v>138</v>
      </c>
      <c r="F400" s="250" t="s">
        <v>139</v>
      </c>
      <c r="G400" s="250" t="s">
        <v>140</v>
      </c>
      <c r="H400" s="250" t="s">
        <v>141</v>
      </c>
      <c r="I400" s="249" t="s">
        <v>74</v>
      </c>
      <c r="J400" s="280"/>
      <c r="K400" s="280"/>
    </row>
    <row r="401" spans="1:11" ht="15.75" customHeight="1" x14ac:dyDescent="0.25">
      <c r="A401" s="100" t="s">
        <v>28</v>
      </c>
      <c r="B401" s="100">
        <v>268</v>
      </c>
      <c r="C401" s="100">
        <v>220</v>
      </c>
      <c r="D401" s="100">
        <v>404</v>
      </c>
      <c r="E401" s="100">
        <v>343</v>
      </c>
      <c r="F401" s="100">
        <v>318</v>
      </c>
      <c r="G401" s="100">
        <v>348</v>
      </c>
      <c r="H401" s="100">
        <v>325</v>
      </c>
      <c r="I401" s="101">
        <f>SUM(B401:H401)</f>
        <v>2226</v>
      </c>
      <c r="J401" s="280"/>
      <c r="K401" s="280"/>
    </row>
    <row r="402" spans="1:11" ht="15.75" customHeight="1" x14ac:dyDescent="0.25">
      <c r="A402" s="100" t="s">
        <v>47</v>
      </c>
      <c r="B402" s="100">
        <v>198</v>
      </c>
      <c r="C402" s="100">
        <v>223</v>
      </c>
      <c r="D402" s="100">
        <v>172</v>
      </c>
      <c r="E402" s="100">
        <v>184</v>
      </c>
      <c r="F402" s="100">
        <v>202</v>
      </c>
      <c r="G402" s="100">
        <v>235</v>
      </c>
      <c r="H402" s="100">
        <v>245</v>
      </c>
      <c r="I402" s="101">
        <f t="shared" ref="I402:I405" si="8">SUM(B402:H402)</f>
        <v>1459</v>
      </c>
      <c r="J402" s="280"/>
      <c r="K402" s="280"/>
    </row>
    <row r="403" spans="1:11" ht="15.75" customHeight="1" x14ac:dyDescent="0.25">
      <c r="A403" s="100" t="s">
        <v>82</v>
      </c>
      <c r="B403" s="100">
        <v>74</v>
      </c>
      <c r="C403" s="100">
        <v>42</v>
      </c>
      <c r="D403" s="100">
        <v>54</v>
      </c>
      <c r="E403" s="100">
        <v>73</v>
      </c>
      <c r="F403" s="100">
        <v>81</v>
      </c>
      <c r="G403" s="100">
        <v>195</v>
      </c>
      <c r="H403" s="100">
        <v>314</v>
      </c>
      <c r="I403" s="101">
        <f t="shared" si="8"/>
        <v>833</v>
      </c>
      <c r="J403" s="280"/>
      <c r="K403" s="280"/>
    </row>
    <row r="404" spans="1:11" ht="15.75" customHeight="1" x14ac:dyDescent="0.25">
      <c r="A404" s="100" t="s">
        <v>101</v>
      </c>
      <c r="B404" s="100">
        <v>239</v>
      </c>
      <c r="C404" s="100">
        <v>158</v>
      </c>
      <c r="D404" s="100">
        <v>176</v>
      </c>
      <c r="E404" s="100">
        <v>188</v>
      </c>
      <c r="F404" s="100">
        <v>201</v>
      </c>
      <c r="G404" s="100">
        <v>311</v>
      </c>
      <c r="H404" s="100">
        <v>202</v>
      </c>
      <c r="I404" s="101">
        <f t="shared" si="8"/>
        <v>1475</v>
      </c>
      <c r="J404" s="280"/>
      <c r="K404" s="280"/>
    </row>
    <row r="405" spans="1:11" ht="15.75" customHeight="1" x14ac:dyDescent="0.25">
      <c r="A405" s="100" t="s">
        <v>102</v>
      </c>
      <c r="B405" s="100">
        <v>99</v>
      </c>
      <c r="C405" s="100">
        <v>74</v>
      </c>
      <c r="D405" s="100">
        <v>74</v>
      </c>
      <c r="E405" s="100">
        <v>77</v>
      </c>
      <c r="F405" s="100">
        <v>71</v>
      </c>
      <c r="G405" s="100">
        <v>99</v>
      </c>
      <c r="H405" s="100">
        <v>111</v>
      </c>
      <c r="I405" s="101">
        <f t="shared" si="8"/>
        <v>605</v>
      </c>
      <c r="J405" s="280"/>
      <c r="K405" s="280"/>
    </row>
    <row r="406" spans="1:11" ht="15.75" customHeight="1" x14ac:dyDescent="0.25">
      <c r="A406" s="100" t="s">
        <v>15</v>
      </c>
      <c r="B406" s="100">
        <v>318</v>
      </c>
      <c r="C406" s="100">
        <v>243</v>
      </c>
      <c r="D406" s="100">
        <v>248</v>
      </c>
      <c r="E406" s="100">
        <v>231</v>
      </c>
      <c r="F406" s="100">
        <v>249</v>
      </c>
      <c r="G406" s="100">
        <v>300</v>
      </c>
      <c r="H406" s="100">
        <v>308</v>
      </c>
      <c r="I406" s="101">
        <f>SUM(B406:H406)</f>
        <v>1897</v>
      </c>
      <c r="J406" s="280"/>
      <c r="K406" s="280"/>
    </row>
    <row r="407" spans="1:11" ht="15.75" customHeight="1" x14ac:dyDescent="0.25">
      <c r="A407" s="100" t="s">
        <v>81</v>
      </c>
      <c r="B407" s="100">
        <v>228</v>
      </c>
      <c r="C407" s="100">
        <v>188</v>
      </c>
      <c r="D407" s="100">
        <v>206</v>
      </c>
      <c r="E407" s="100">
        <v>244</v>
      </c>
      <c r="F407" s="100">
        <v>245</v>
      </c>
      <c r="G407" s="100">
        <v>360</v>
      </c>
      <c r="H407" s="100">
        <v>316</v>
      </c>
      <c r="I407" s="101">
        <f t="shared" ref="I407:I418" si="9">SUM(B407:H407)</f>
        <v>1787</v>
      </c>
      <c r="J407" s="280"/>
      <c r="K407" s="280"/>
    </row>
    <row r="408" spans="1:11" ht="15.75" customHeight="1" x14ac:dyDescent="0.25">
      <c r="A408" s="100" t="s">
        <v>63</v>
      </c>
      <c r="B408" s="100">
        <v>365</v>
      </c>
      <c r="C408" s="100">
        <v>240</v>
      </c>
      <c r="D408" s="100">
        <v>279</v>
      </c>
      <c r="E408" s="100">
        <v>276</v>
      </c>
      <c r="F408" s="100">
        <v>268</v>
      </c>
      <c r="G408" s="100">
        <v>474</v>
      </c>
      <c r="H408" s="100">
        <v>627</v>
      </c>
      <c r="I408" s="101">
        <f t="shared" si="9"/>
        <v>2529</v>
      </c>
      <c r="J408" s="280"/>
      <c r="K408" s="280"/>
    </row>
    <row r="409" spans="1:11" ht="15.75" customHeight="1" x14ac:dyDescent="0.25">
      <c r="A409" s="100" t="s">
        <v>103</v>
      </c>
      <c r="B409" s="100">
        <v>377</v>
      </c>
      <c r="C409" s="100">
        <v>347</v>
      </c>
      <c r="D409" s="100">
        <v>300</v>
      </c>
      <c r="E409" s="100">
        <v>197</v>
      </c>
      <c r="F409" s="100">
        <v>327</v>
      </c>
      <c r="G409" s="100">
        <v>451</v>
      </c>
      <c r="H409" s="100">
        <v>385</v>
      </c>
      <c r="I409" s="101">
        <f t="shared" si="9"/>
        <v>2384</v>
      </c>
      <c r="J409" s="280"/>
      <c r="K409" s="280"/>
    </row>
    <row r="410" spans="1:11" ht="15.75" customHeight="1" x14ac:dyDescent="0.25">
      <c r="A410" s="100" t="s">
        <v>84</v>
      </c>
      <c r="B410" s="100">
        <v>264</v>
      </c>
      <c r="C410" s="100">
        <v>215</v>
      </c>
      <c r="D410" s="100">
        <v>218</v>
      </c>
      <c r="E410" s="100">
        <v>250</v>
      </c>
      <c r="F410" s="100">
        <v>233</v>
      </c>
      <c r="G410" s="100">
        <v>232</v>
      </c>
      <c r="H410" s="100">
        <v>185</v>
      </c>
      <c r="I410" s="101">
        <f t="shared" si="9"/>
        <v>1597</v>
      </c>
      <c r="J410" s="280"/>
      <c r="K410" s="280"/>
    </row>
    <row r="411" spans="1:11" ht="15.75" customHeight="1" x14ac:dyDescent="0.25">
      <c r="A411" s="100" t="s">
        <v>104</v>
      </c>
      <c r="B411" s="100">
        <v>88</v>
      </c>
      <c r="C411" s="100">
        <v>85</v>
      </c>
      <c r="D411" s="100">
        <v>82</v>
      </c>
      <c r="E411" s="100">
        <v>60</v>
      </c>
      <c r="F411" s="100">
        <v>71</v>
      </c>
      <c r="G411" s="100">
        <v>79</v>
      </c>
      <c r="H411" s="100">
        <v>76</v>
      </c>
      <c r="I411" s="101">
        <f t="shared" si="9"/>
        <v>541</v>
      </c>
      <c r="J411" s="280"/>
      <c r="K411" s="280"/>
    </row>
    <row r="412" spans="1:11" ht="15.75" customHeight="1" x14ac:dyDescent="0.25">
      <c r="A412" s="100" t="s">
        <v>85</v>
      </c>
      <c r="B412" s="100">
        <v>392</v>
      </c>
      <c r="C412" s="100">
        <v>200</v>
      </c>
      <c r="D412" s="100">
        <v>155</v>
      </c>
      <c r="E412" s="100">
        <v>170</v>
      </c>
      <c r="F412" s="100">
        <v>197</v>
      </c>
      <c r="G412" s="100">
        <v>209</v>
      </c>
      <c r="H412" s="100">
        <v>189</v>
      </c>
      <c r="I412" s="101">
        <f t="shared" si="9"/>
        <v>1512</v>
      </c>
      <c r="J412" s="280"/>
      <c r="K412" s="280"/>
    </row>
    <row r="413" spans="1:11" ht="15.75" customHeight="1" x14ac:dyDescent="0.25">
      <c r="A413" s="100" t="s">
        <v>83</v>
      </c>
      <c r="B413" s="100">
        <v>303</v>
      </c>
      <c r="C413" s="100">
        <v>342</v>
      </c>
      <c r="D413" s="100">
        <v>360</v>
      </c>
      <c r="E413" s="100">
        <v>392</v>
      </c>
      <c r="F413" s="100">
        <v>352</v>
      </c>
      <c r="G413" s="100">
        <v>496</v>
      </c>
      <c r="H413" s="100">
        <v>341</v>
      </c>
      <c r="I413" s="101">
        <f t="shared" si="9"/>
        <v>2586</v>
      </c>
      <c r="J413" s="280"/>
      <c r="K413" s="280"/>
    </row>
    <row r="414" spans="1:11" ht="15.75" customHeight="1" x14ac:dyDescent="0.25">
      <c r="A414" s="100" t="s">
        <v>86</v>
      </c>
      <c r="B414" s="100">
        <v>97</v>
      </c>
      <c r="C414" s="100">
        <v>87</v>
      </c>
      <c r="D414" s="100">
        <v>84</v>
      </c>
      <c r="E414" s="100">
        <v>104</v>
      </c>
      <c r="F414" s="100">
        <v>94</v>
      </c>
      <c r="G414" s="100">
        <v>105</v>
      </c>
      <c r="H414" s="100">
        <v>138</v>
      </c>
      <c r="I414" s="101">
        <f t="shared" si="9"/>
        <v>709</v>
      </c>
      <c r="J414" s="280"/>
      <c r="K414" s="280"/>
    </row>
    <row r="415" spans="1:11" ht="15.75" customHeight="1" x14ac:dyDescent="0.25">
      <c r="A415" s="100" t="s">
        <v>105</v>
      </c>
      <c r="B415" s="100">
        <v>127</v>
      </c>
      <c r="C415" s="100">
        <v>143</v>
      </c>
      <c r="D415" s="100">
        <v>143</v>
      </c>
      <c r="E415" s="100">
        <v>175</v>
      </c>
      <c r="F415" s="267">
        <v>142</v>
      </c>
      <c r="G415" s="100">
        <v>119</v>
      </c>
      <c r="H415" s="267">
        <v>80</v>
      </c>
      <c r="I415" s="101">
        <f t="shared" si="9"/>
        <v>929</v>
      </c>
      <c r="J415" s="280"/>
      <c r="K415" s="280"/>
    </row>
    <row r="416" spans="1:11" ht="15.75" customHeight="1" x14ac:dyDescent="0.25">
      <c r="A416" s="100" t="s">
        <v>106</v>
      </c>
      <c r="B416" s="100">
        <v>95</v>
      </c>
      <c r="C416" s="100">
        <v>79</v>
      </c>
      <c r="D416" s="100">
        <v>85</v>
      </c>
      <c r="E416" s="100">
        <v>85</v>
      </c>
      <c r="F416" s="100">
        <v>77</v>
      </c>
      <c r="G416" s="100">
        <v>89</v>
      </c>
      <c r="H416" s="100">
        <v>76</v>
      </c>
      <c r="I416" s="101">
        <f t="shared" si="9"/>
        <v>586</v>
      </c>
      <c r="J416" s="280"/>
      <c r="K416" s="280"/>
    </row>
    <row r="417" spans="1:14" ht="15.75" customHeight="1" x14ac:dyDescent="0.25">
      <c r="A417" s="100" t="s">
        <v>107</v>
      </c>
      <c r="B417" s="100">
        <v>30</v>
      </c>
      <c r="C417" s="100">
        <v>45</v>
      </c>
      <c r="D417" s="267">
        <v>37</v>
      </c>
      <c r="E417" s="100">
        <v>47</v>
      </c>
      <c r="F417" s="100">
        <v>44</v>
      </c>
      <c r="G417" s="100">
        <v>70</v>
      </c>
      <c r="H417" s="267">
        <v>64</v>
      </c>
      <c r="I417" s="101">
        <f t="shared" si="9"/>
        <v>337</v>
      </c>
      <c r="J417" s="280"/>
      <c r="K417" s="280"/>
    </row>
    <row r="418" spans="1:14" ht="15.75" customHeight="1" x14ac:dyDescent="0.25">
      <c r="A418" s="100" t="s">
        <v>108</v>
      </c>
      <c r="B418" s="100" t="s">
        <v>100</v>
      </c>
      <c r="C418" s="100" t="s">
        <v>100</v>
      </c>
      <c r="D418" s="247" t="s">
        <v>100</v>
      </c>
      <c r="E418" s="248" t="s">
        <v>100</v>
      </c>
      <c r="F418" s="100" t="s">
        <v>100</v>
      </c>
      <c r="G418" s="100" t="s">
        <v>100</v>
      </c>
      <c r="H418" s="100" t="s">
        <v>100</v>
      </c>
      <c r="I418" s="101">
        <f t="shared" si="9"/>
        <v>0</v>
      </c>
      <c r="J418" s="280"/>
      <c r="K418" s="280"/>
    </row>
    <row r="419" spans="1:14" ht="15.75" customHeight="1" x14ac:dyDescent="0.25">
      <c r="A419" s="260"/>
      <c r="B419" s="257"/>
      <c r="C419" s="257"/>
      <c r="D419" s="257"/>
      <c r="E419" s="257"/>
      <c r="F419" s="257"/>
      <c r="G419" s="257"/>
      <c r="H419" s="254" t="s">
        <v>74</v>
      </c>
      <c r="I419" s="266">
        <f>SUM(I401:I418)</f>
        <v>23992</v>
      </c>
      <c r="J419" s="280"/>
      <c r="K419" s="280"/>
      <c r="N419" s="241"/>
    </row>
    <row r="420" spans="1:14" ht="15.75" customHeight="1" x14ac:dyDescent="0.2"/>
    <row r="421" spans="1:14" s="241" customFormat="1" ht="15.75" customHeight="1" x14ac:dyDescent="0.25">
      <c r="A421" s="100"/>
      <c r="B421" s="100"/>
      <c r="C421" s="287" t="s">
        <v>436</v>
      </c>
      <c r="D421" s="288"/>
      <c r="E421" s="288"/>
      <c r="F421" s="288"/>
      <c r="G421" s="288"/>
      <c r="H421" s="288"/>
      <c r="I421" s="100"/>
      <c r="J421" s="99"/>
      <c r="K421" s="99"/>
      <c r="L421" s="14"/>
      <c r="M421" s="14"/>
    </row>
    <row r="422" spans="1:14" ht="15.75" customHeight="1" x14ac:dyDescent="0.2"/>
    <row r="423" spans="1:14" ht="15.75" customHeight="1" x14ac:dyDescent="0.2">
      <c r="A423" s="249" t="s">
        <v>92</v>
      </c>
      <c r="B423" s="250" t="s">
        <v>145</v>
      </c>
      <c r="C423" s="250" t="s">
        <v>146</v>
      </c>
      <c r="D423" s="251" t="s">
        <v>147</v>
      </c>
      <c r="E423" s="252" t="s">
        <v>148</v>
      </c>
      <c r="F423" s="250" t="s">
        <v>149</v>
      </c>
      <c r="G423" s="250" t="s">
        <v>150</v>
      </c>
      <c r="H423" s="250" t="s">
        <v>151</v>
      </c>
      <c r="I423" s="249" t="s">
        <v>74</v>
      </c>
      <c r="J423" s="281"/>
      <c r="K423" s="281"/>
    </row>
    <row r="424" spans="1:14" ht="15.75" customHeight="1" x14ac:dyDescent="0.25">
      <c r="A424" s="100" t="s">
        <v>28</v>
      </c>
      <c r="B424" s="100">
        <v>273</v>
      </c>
      <c r="C424" s="100">
        <v>314</v>
      </c>
      <c r="D424" s="100">
        <v>338</v>
      </c>
      <c r="E424" s="100">
        <v>304</v>
      </c>
      <c r="F424" s="100">
        <v>294</v>
      </c>
      <c r="G424" s="100">
        <v>338</v>
      </c>
      <c r="H424" s="100">
        <v>345</v>
      </c>
      <c r="I424" s="101">
        <f>SUM(B424:H424)</f>
        <v>2206</v>
      </c>
      <c r="J424" s="281"/>
      <c r="K424" s="281"/>
    </row>
    <row r="425" spans="1:14" ht="15.75" customHeight="1" x14ac:dyDescent="0.25">
      <c r="A425" s="100" t="s">
        <v>47</v>
      </c>
      <c r="B425" s="100">
        <v>221</v>
      </c>
      <c r="C425" s="100">
        <v>199</v>
      </c>
      <c r="D425" s="100">
        <v>195</v>
      </c>
      <c r="E425" s="100">
        <v>152</v>
      </c>
      <c r="F425" s="100">
        <v>204</v>
      </c>
      <c r="G425" s="100">
        <v>193</v>
      </c>
      <c r="H425" s="100">
        <v>203</v>
      </c>
      <c r="I425" s="101">
        <f t="shared" ref="I425:I428" si="10">SUM(B425:H425)</f>
        <v>1367</v>
      </c>
      <c r="J425" s="281"/>
      <c r="K425" s="281"/>
    </row>
    <row r="426" spans="1:14" ht="15.75" customHeight="1" x14ac:dyDescent="0.25">
      <c r="A426" s="100" t="s">
        <v>82</v>
      </c>
      <c r="B426" s="100">
        <v>41</v>
      </c>
      <c r="C426" s="100">
        <v>33</v>
      </c>
      <c r="D426" s="100">
        <v>74</v>
      </c>
      <c r="E426" s="100">
        <v>57</v>
      </c>
      <c r="F426" s="100">
        <v>87</v>
      </c>
      <c r="G426" s="100">
        <v>115</v>
      </c>
      <c r="H426" s="100">
        <v>150</v>
      </c>
      <c r="I426" s="101">
        <f t="shared" si="10"/>
        <v>557</v>
      </c>
      <c r="J426" s="281"/>
      <c r="K426" s="281"/>
    </row>
    <row r="427" spans="1:14" ht="15.75" customHeight="1" x14ac:dyDescent="0.25">
      <c r="A427" s="100" t="s">
        <v>101</v>
      </c>
      <c r="B427" s="100">
        <v>156</v>
      </c>
      <c r="C427" s="100">
        <v>159</v>
      </c>
      <c r="D427" s="100">
        <v>179</v>
      </c>
      <c r="E427" s="100">
        <v>179</v>
      </c>
      <c r="F427" s="100">
        <v>192</v>
      </c>
      <c r="G427" s="100">
        <v>272</v>
      </c>
      <c r="H427" s="100">
        <v>209</v>
      </c>
      <c r="I427" s="101">
        <f t="shared" si="10"/>
        <v>1346</v>
      </c>
      <c r="J427" s="281"/>
      <c r="K427" s="281"/>
    </row>
    <row r="428" spans="1:14" ht="15.75" customHeight="1" x14ac:dyDescent="0.25">
      <c r="A428" s="100" t="s">
        <v>102</v>
      </c>
      <c r="B428" s="100">
        <v>79</v>
      </c>
      <c r="C428" s="100">
        <v>73</v>
      </c>
      <c r="D428" s="100">
        <v>70</v>
      </c>
      <c r="E428" s="100">
        <v>71</v>
      </c>
      <c r="F428" s="100">
        <v>70</v>
      </c>
      <c r="G428" s="100">
        <v>112</v>
      </c>
      <c r="H428" s="100">
        <v>110</v>
      </c>
      <c r="I428" s="101">
        <f t="shared" si="10"/>
        <v>585</v>
      </c>
      <c r="J428" s="281"/>
      <c r="K428" s="281"/>
    </row>
    <row r="429" spans="1:14" ht="15.75" customHeight="1" x14ac:dyDescent="0.25">
      <c r="A429" s="100" t="s">
        <v>15</v>
      </c>
      <c r="B429" s="100">
        <v>245</v>
      </c>
      <c r="C429" s="100">
        <v>251</v>
      </c>
      <c r="D429" s="100">
        <v>270</v>
      </c>
      <c r="E429" s="100">
        <v>252</v>
      </c>
      <c r="F429" s="100">
        <v>320</v>
      </c>
      <c r="G429" s="100">
        <v>407</v>
      </c>
      <c r="H429" s="100">
        <v>571</v>
      </c>
      <c r="I429" s="101">
        <f>SUM(B429:H429)</f>
        <v>2316</v>
      </c>
      <c r="J429" s="281"/>
      <c r="K429" s="281"/>
    </row>
    <row r="430" spans="1:14" ht="15.75" customHeight="1" x14ac:dyDescent="0.25">
      <c r="A430" s="100" t="s">
        <v>81</v>
      </c>
      <c r="B430" s="100">
        <v>238</v>
      </c>
      <c r="C430" s="100">
        <v>207</v>
      </c>
      <c r="D430" s="100">
        <v>213</v>
      </c>
      <c r="E430" s="100">
        <v>215</v>
      </c>
      <c r="F430" s="100">
        <v>306</v>
      </c>
      <c r="G430" s="100">
        <v>319</v>
      </c>
      <c r="H430" s="100">
        <v>346</v>
      </c>
      <c r="I430" s="101">
        <f t="shared" ref="I430:I441" si="11">SUM(B430:H430)</f>
        <v>1844</v>
      </c>
      <c r="J430" s="281"/>
      <c r="K430" s="281"/>
    </row>
    <row r="431" spans="1:14" ht="15.75" customHeight="1" x14ac:dyDescent="0.25">
      <c r="A431" s="100" t="s">
        <v>63</v>
      </c>
      <c r="B431" s="100">
        <v>281</v>
      </c>
      <c r="C431" s="100">
        <v>262</v>
      </c>
      <c r="D431" s="100">
        <v>246</v>
      </c>
      <c r="E431" s="100">
        <v>239</v>
      </c>
      <c r="F431" s="100">
        <v>300</v>
      </c>
      <c r="G431" s="100">
        <v>415</v>
      </c>
      <c r="H431" s="100">
        <v>261</v>
      </c>
      <c r="I431" s="101">
        <f t="shared" si="11"/>
        <v>2004</v>
      </c>
      <c r="J431" s="281"/>
      <c r="K431" s="281"/>
    </row>
    <row r="432" spans="1:14" ht="15.75" customHeight="1" x14ac:dyDescent="0.25">
      <c r="A432" s="100" t="s">
        <v>103</v>
      </c>
      <c r="B432" s="100">
        <v>337</v>
      </c>
      <c r="C432" s="100">
        <v>264</v>
      </c>
      <c r="D432" s="100">
        <v>300</v>
      </c>
      <c r="E432" s="100">
        <v>316</v>
      </c>
      <c r="F432" s="100">
        <v>411</v>
      </c>
      <c r="G432" s="100">
        <v>464</v>
      </c>
      <c r="H432" s="100">
        <v>353</v>
      </c>
      <c r="I432" s="101">
        <f t="shared" si="11"/>
        <v>2445</v>
      </c>
      <c r="J432" s="281"/>
      <c r="K432" s="281"/>
    </row>
    <row r="433" spans="1:13" ht="15.75" customHeight="1" x14ac:dyDescent="0.25">
      <c r="A433" s="100" t="s">
        <v>84</v>
      </c>
      <c r="B433" s="100">
        <v>199</v>
      </c>
      <c r="C433" s="100">
        <v>182</v>
      </c>
      <c r="D433" s="100">
        <v>201</v>
      </c>
      <c r="E433" s="100">
        <v>204</v>
      </c>
      <c r="F433" s="100">
        <v>265</v>
      </c>
      <c r="G433" s="100">
        <v>256</v>
      </c>
      <c r="H433" s="100">
        <v>285</v>
      </c>
      <c r="I433" s="101">
        <f t="shared" si="11"/>
        <v>1592</v>
      </c>
      <c r="J433" s="281"/>
      <c r="K433" s="281"/>
    </row>
    <row r="434" spans="1:13" ht="15.75" customHeight="1" x14ac:dyDescent="0.25">
      <c r="A434" s="100" t="s">
        <v>104</v>
      </c>
      <c r="B434" s="100">
        <v>82</v>
      </c>
      <c r="C434" s="100">
        <v>70</v>
      </c>
      <c r="D434" s="100">
        <v>76</v>
      </c>
      <c r="E434" s="100">
        <v>76</v>
      </c>
      <c r="F434" s="100">
        <v>87</v>
      </c>
      <c r="G434" s="100">
        <v>92</v>
      </c>
      <c r="H434" s="100">
        <v>82</v>
      </c>
      <c r="I434" s="101">
        <f t="shared" si="11"/>
        <v>565</v>
      </c>
      <c r="J434" s="281"/>
      <c r="K434" s="281"/>
    </row>
    <row r="435" spans="1:13" ht="15.75" customHeight="1" x14ac:dyDescent="0.25">
      <c r="A435" s="100" t="s">
        <v>85</v>
      </c>
      <c r="B435" s="100">
        <v>188</v>
      </c>
      <c r="C435" s="100">
        <v>143</v>
      </c>
      <c r="D435" s="100">
        <v>192</v>
      </c>
      <c r="E435" s="100">
        <v>145</v>
      </c>
      <c r="F435" s="100">
        <v>155</v>
      </c>
      <c r="G435" s="100">
        <v>224</v>
      </c>
      <c r="H435" s="100">
        <v>205</v>
      </c>
      <c r="I435" s="101">
        <f t="shared" si="11"/>
        <v>1252</v>
      </c>
      <c r="J435" s="281"/>
      <c r="K435" s="281"/>
    </row>
    <row r="436" spans="1:13" ht="15.75" customHeight="1" x14ac:dyDescent="0.25">
      <c r="A436" s="100" t="s">
        <v>83</v>
      </c>
      <c r="B436" s="100">
        <v>366</v>
      </c>
      <c r="C436" s="100">
        <v>334</v>
      </c>
      <c r="D436" s="100">
        <v>317</v>
      </c>
      <c r="E436" s="100">
        <v>362</v>
      </c>
      <c r="F436" s="100">
        <v>783</v>
      </c>
      <c r="G436" s="100">
        <v>820</v>
      </c>
      <c r="H436" s="100">
        <v>939</v>
      </c>
      <c r="I436" s="101">
        <f t="shared" si="11"/>
        <v>3921</v>
      </c>
      <c r="J436" s="281"/>
      <c r="K436" s="281"/>
    </row>
    <row r="437" spans="1:13" ht="15.75" customHeight="1" x14ac:dyDescent="0.25">
      <c r="A437" s="100" t="s">
        <v>86</v>
      </c>
      <c r="B437" s="100">
        <v>92</v>
      </c>
      <c r="C437" s="100">
        <v>46</v>
      </c>
      <c r="D437" s="100">
        <v>45</v>
      </c>
      <c r="E437" s="100">
        <v>110</v>
      </c>
      <c r="F437" s="100">
        <v>99</v>
      </c>
      <c r="G437" s="100">
        <v>125</v>
      </c>
      <c r="H437" s="100">
        <v>122</v>
      </c>
      <c r="I437" s="101">
        <f t="shared" si="11"/>
        <v>639</v>
      </c>
      <c r="J437" s="281"/>
      <c r="K437" s="281"/>
    </row>
    <row r="438" spans="1:13" ht="15.75" customHeight="1" x14ac:dyDescent="0.25">
      <c r="A438" s="100" t="s">
        <v>105</v>
      </c>
      <c r="B438" s="100">
        <v>135</v>
      </c>
      <c r="C438" s="100">
        <v>142</v>
      </c>
      <c r="D438" s="100">
        <v>146</v>
      </c>
      <c r="E438" s="100">
        <v>141</v>
      </c>
      <c r="F438" s="267">
        <v>156</v>
      </c>
      <c r="G438" s="100">
        <v>189</v>
      </c>
      <c r="H438" s="267">
        <v>165</v>
      </c>
      <c r="I438" s="101">
        <f t="shared" si="11"/>
        <v>1074</v>
      </c>
      <c r="J438" s="281"/>
      <c r="K438" s="281"/>
    </row>
    <row r="439" spans="1:13" ht="15.75" customHeight="1" x14ac:dyDescent="0.25">
      <c r="A439" s="100" t="s">
        <v>106</v>
      </c>
      <c r="B439" s="100">
        <v>103</v>
      </c>
      <c r="C439" s="100">
        <v>74</v>
      </c>
      <c r="D439" s="100">
        <v>94</v>
      </c>
      <c r="E439" s="100">
        <v>70</v>
      </c>
      <c r="F439" s="100">
        <v>62</v>
      </c>
      <c r="G439" s="100">
        <v>128</v>
      </c>
      <c r="H439" s="100">
        <v>108</v>
      </c>
      <c r="I439" s="101">
        <f t="shared" si="11"/>
        <v>639</v>
      </c>
      <c r="J439" s="281"/>
      <c r="K439" s="281"/>
    </row>
    <row r="440" spans="1:13" ht="15.75" customHeight="1" x14ac:dyDescent="0.25">
      <c r="A440" s="100" t="s">
        <v>107</v>
      </c>
      <c r="B440" s="100">
        <v>48</v>
      </c>
      <c r="C440" s="100">
        <v>34</v>
      </c>
      <c r="D440" s="267">
        <v>56</v>
      </c>
      <c r="E440" s="100">
        <v>43</v>
      </c>
      <c r="F440" s="100">
        <v>70</v>
      </c>
      <c r="G440" s="100">
        <v>78</v>
      </c>
      <c r="H440" s="267">
        <v>45</v>
      </c>
      <c r="I440" s="101">
        <f t="shared" si="11"/>
        <v>374</v>
      </c>
      <c r="J440" s="281"/>
      <c r="K440" s="281"/>
    </row>
    <row r="441" spans="1:13" ht="15.75" customHeight="1" x14ac:dyDescent="0.25">
      <c r="A441" s="100" t="s">
        <v>108</v>
      </c>
      <c r="B441" s="100" t="s">
        <v>100</v>
      </c>
      <c r="C441" s="100" t="s">
        <v>100</v>
      </c>
      <c r="D441" s="247" t="s">
        <v>100</v>
      </c>
      <c r="E441" s="248" t="s">
        <v>100</v>
      </c>
      <c r="F441" s="100" t="s">
        <v>100</v>
      </c>
      <c r="G441" s="100" t="s">
        <v>100</v>
      </c>
      <c r="H441" s="100" t="s">
        <v>100</v>
      </c>
      <c r="I441" s="101">
        <f t="shared" si="11"/>
        <v>0</v>
      </c>
      <c r="J441" s="281"/>
      <c r="K441" s="281"/>
    </row>
    <row r="442" spans="1:13" ht="15.75" customHeight="1" x14ac:dyDescent="0.25">
      <c r="A442" s="260"/>
      <c r="B442" s="257"/>
      <c r="C442" s="257"/>
      <c r="D442" s="257"/>
      <c r="E442" s="257"/>
      <c r="F442" s="257"/>
      <c r="G442" s="257"/>
      <c r="H442" s="254" t="s">
        <v>74</v>
      </c>
      <c r="I442" s="266">
        <f>SUM(I424:I441)</f>
        <v>24726</v>
      </c>
      <c r="J442" s="281"/>
      <c r="K442" s="281"/>
    </row>
    <row r="443" spans="1:13" ht="15.75" customHeight="1" x14ac:dyDescent="0.2"/>
    <row r="444" spans="1:13" s="241" customFormat="1" ht="15.75" customHeight="1" x14ac:dyDescent="0.25">
      <c r="A444" s="100"/>
      <c r="B444" s="100"/>
      <c r="C444" s="287" t="s">
        <v>438</v>
      </c>
      <c r="D444" s="288"/>
      <c r="E444" s="288"/>
      <c r="F444" s="288"/>
      <c r="G444" s="288"/>
      <c r="H444" s="288"/>
      <c r="I444" s="100"/>
      <c r="J444" s="99"/>
      <c r="K444" s="99"/>
      <c r="L444" s="14"/>
      <c r="M444" s="14"/>
    </row>
    <row r="445" spans="1:13" ht="15.75" customHeight="1" x14ac:dyDescent="0.2"/>
    <row r="446" spans="1:13" ht="15.75" customHeight="1" x14ac:dyDescent="0.2">
      <c r="A446" s="249" t="s">
        <v>92</v>
      </c>
      <c r="B446" s="250" t="s">
        <v>156</v>
      </c>
      <c r="C446" s="250" t="s">
        <v>157</v>
      </c>
      <c r="D446" s="251" t="s">
        <v>158</v>
      </c>
      <c r="E446" s="252" t="s">
        <v>159</v>
      </c>
      <c r="F446" s="250" t="s">
        <v>160</v>
      </c>
      <c r="G446" s="250" t="s">
        <v>161</v>
      </c>
      <c r="H446" s="250" t="s">
        <v>162</v>
      </c>
      <c r="I446" s="249" t="s">
        <v>74</v>
      </c>
      <c r="J446" s="283"/>
      <c r="K446" s="283"/>
    </row>
    <row r="447" spans="1:13" ht="15.75" customHeight="1" x14ac:dyDescent="0.25">
      <c r="A447" s="100" t="s">
        <v>28</v>
      </c>
      <c r="B447" s="100">
        <v>272</v>
      </c>
      <c r="C447" s="100">
        <v>306</v>
      </c>
      <c r="D447" s="100">
        <v>298</v>
      </c>
      <c r="E447" s="100">
        <v>291</v>
      </c>
      <c r="F447" s="100">
        <v>304</v>
      </c>
      <c r="G447" s="100">
        <v>365</v>
      </c>
      <c r="H447" s="100">
        <v>426</v>
      </c>
      <c r="I447" s="101">
        <f>SUM(B447:H447)</f>
        <v>2262</v>
      </c>
      <c r="J447" s="283"/>
      <c r="K447" s="283"/>
    </row>
    <row r="448" spans="1:13" ht="15.75" customHeight="1" x14ac:dyDescent="0.25">
      <c r="A448" s="100" t="s">
        <v>47</v>
      </c>
      <c r="B448" s="100">
        <v>178</v>
      </c>
      <c r="C448" s="100">
        <v>176</v>
      </c>
      <c r="D448" s="100">
        <v>181</v>
      </c>
      <c r="E448" s="100">
        <v>190</v>
      </c>
      <c r="F448" s="100">
        <v>166</v>
      </c>
      <c r="G448" s="100">
        <v>217</v>
      </c>
      <c r="H448" s="100">
        <v>205</v>
      </c>
      <c r="I448" s="101">
        <f t="shared" ref="I448:I451" si="12">SUM(B448:H448)</f>
        <v>1313</v>
      </c>
      <c r="J448" s="283"/>
      <c r="K448" s="283"/>
    </row>
    <row r="449" spans="1:11" ht="15.75" customHeight="1" x14ac:dyDescent="0.25">
      <c r="A449" s="100" t="s">
        <v>82</v>
      </c>
      <c r="B449" s="100">
        <v>89</v>
      </c>
      <c r="C449" s="100">
        <v>84</v>
      </c>
      <c r="D449" s="100">
        <v>63</v>
      </c>
      <c r="E449" s="100">
        <v>52</v>
      </c>
      <c r="F449" s="100">
        <v>54</v>
      </c>
      <c r="G449" s="100">
        <v>107</v>
      </c>
      <c r="H449" s="100">
        <v>112</v>
      </c>
      <c r="I449" s="101">
        <f t="shared" si="12"/>
        <v>561</v>
      </c>
      <c r="J449" s="283"/>
      <c r="K449" s="283"/>
    </row>
    <row r="450" spans="1:11" ht="15.75" customHeight="1" x14ac:dyDescent="0.25">
      <c r="A450" s="100" t="s">
        <v>101</v>
      </c>
      <c r="B450" s="100">
        <v>191</v>
      </c>
      <c r="C450" s="100">
        <v>188</v>
      </c>
      <c r="D450" s="100">
        <v>209</v>
      </c>
      <c r="E450" s="100">
        <v>209</v>
      </c>
      <c r="F450" s="100">
        <v>189</v>
      </c>
      <c r="G450" s="100">
        <v>364</v>
      </c>
      <c r="H450" s="100">
        <v>304</v>
      </c>
      <c r="I450" s="101">
        <f t="shared" si="12"/>
        <v>1654</v>
      </c>
      <c r="J450" s="283"/>
      <c r="K450" s="283"/>
    </row>
    <row r="451" spans="1:11" ht="15.75" customHeight="1" x14ac:dyDescent="0.25">
      <c r="A451" s="100" t="s">
        <v>102</v>
      </c>
      <c r="B451" s="100">
        <v>69</v>
      </c>
      <c r="C451" s="100">
        <v>77</v>
      </c>
      <c r="D451" s="100">
        <v>75</v>
      </c>
      <c r="E451" s="100">
        <v>76</v>
      </c>
      <c r="F451" s="100">
        <v>67</v>
      </c>
      <c r="G451" s="100">
        <v>113</v>
      </c>
      <c r="H451" s="100">
        <v>108</v>
      </c>
      <c r="I451" s="101">
        <f t="shared" si="12"/>
        <v>585</v>
      </c>
      <c r="J451" s="283"/>
      <c r="K451" s="283"/>
    </row>
    <row r="452" spans="1:11" ht="15.75" customHeight="1" x14ac:dyDescent="0.25">
      <c r="A452" s="100" t="s">
        <v>15</v>
      </c>
      <c r="B452" s="100">
        <v>282</v>
      </c>
      <c r="C452" s="100">
        <v>264</v>
      </c>
      <c r="D452" s="100">
        <v>284</v>
      </c>
      <c r="E452" s="100">
        <v>290</v>
      </c>
      <c r="F452" s="100">
        <v>302</v>
      </c>
      <c r="G452" s="100">
        <v>374</v>
      </c>
      <c r="H452" s="100">
        <v>363</v>
      </c>
      <c r="I452" s="101">
        <f>SUM(B452:H452)</f>
        <v>2159</v>
      </c>
      <c r="J452" s="283"/>
      <c r="K452" s="283"/>
    </row>
    <row r="453" spans="1:11" ht="15.75" customHeight="1" x14ac:dyDescent="0.25">
      <c r="A453" s="100" t="s">
        <v>81</v>
      </c>
      <c r="B453" s="100">
        <v>200</v>
      </c>
      <c r="C453" s="100">
        <v>197</v>
      </c>
      <c r="D453" s="100">
        <v>221</v>
      </c>
      <c r="E453" s="100">
        <v>236</v>
      </c>
      <c r="F453" s="100">
        <v>233</v>
      </c>
      <c r="G453" s="100">
        <v>421</v>
      </c>
      <c r="H453" s="100">
        <v>371</v>
      </c>
      <c r="I453" s="101">
        <f t="shared" ref="I453:I464" si="13">SUM(B453:H453)</f>
        <v>1879</v>
      </c>
      <c r="J453" s="283"/>
      <c r="K453" s="283"/>
    </row>
    <row r="454" spans="1:11" ht="15.75" customHeight="1" x14ac:dyDescent="0.25">
      <c r="A454" s="100" t="s">
        <v>63</v>
      </c>
      <c r="B454" s="100">
        <v>302</v>
      </c>
      <c r="C454" s="100">
        <v>294</v>
      </c>
      <c r="D454" s="100">
        <v>286</v>
      </c>
      <c r="E454" s="100">
        <v>285</v>
      </c>
      <c r="F454" s="100">
        <v>306</v>
      </c>
      <c r="G454" s="100">
        <v>439</v>
      </c>
      <c r="H454" s="100">
        <v>423</v>
      </c>
      <c r="I454" s="101">
        <f t="shared" si="13"/>
        <v>2335</v>
      </c>
      <c r="J454" s="283"/>
      <c r="K454" s="283"/>
    </row>
    <row r="455" spans="1:11" ht="15.75" customHeight="1" x14ac:dyDescent="0.25">
      <c r="A455" s="100" t="s">
        <v>103</v>
      </c>
      <c r="B455" s="100">
        <v>265</v>
      </c>
      <c r="C455" s="100">
        <v>293</v>
      </c>
      <c r="D455" s="100">
        <v>293</v>
      </c>
      <c r="E455" s="100">
        <v>308</v>
      </c>
      <c r="F455" s="100">
        <v>356</v>
      </c>
      <c r="G455" s="100">
        <v>420</v>
      </c>
      <c r="H455" s="100">
        <v>354</v>
      </c>
      <c r="I455" s="101">
        <f t="shared" si="13"/>
        <v>2289</v>
      </c>
      <c r="J455" s="283"/>
      <c r="K455" s="283"/>
    </row>
    <row r="456" spans="1:11" ht="15.75" customHeight="1" x14ac:dyDescent="0.25">
      <c r="A456" s="100" t="s">
        <v>84</v>
      </c>
      <c r="B456" s="100">
        <v>219</v>
      </c>
      <c r="C456" s="100">
        <v>198</v>
      </c>
      <c r="D456" s="100">
        <v>186</v>
      </c>
      <c r="E456" s="100">
        <v>211</v>
      </c>
      <c r="F456" s="100">
        <v>263</v>
      </c>
      <c r="G456" s="100">
        <v>319</v>
      </c>
      <c r="H456" s="100">
        <v>209</v>
      </c>
      <c r="I456" s="101">
        <f t="shared" si="13"/>
        <v>1605</v>
      </c>
      <c r="J456" s="283"/>
      <c r="K456" s="283"/>
    </row>
    <row r="457" spans="1:11" ht="15.75" customHeight="1" x14ac:dyDescent="0.25">
      <c r="A457" s="100" t="s">
        <v>104</v>
      </c>
      <c r="B457" s="100">
        <v>78</v>
      </c>
      <c r="C457" s="100">
        <v>85</v>
      </c>
      <c r="D457" s="100">
        <v>97</v>
      </c>
      <c r="E457" s="100">
        <v>58</v>
      </c>
      <c r="F457" s="100">
        <v>90</v>
      </c>
      <c r="G457" s="100">
        <v>114</v>
      </c>
      <c r="H457" s="100">
        <v>66</v>
      </c>
      <c r="I457" s="101">
        <f t="shared" si="13"/>
        <v>588</v>
      </c>
      <c r="J457" s="283"/>
      <c r="K457" s="283"/>
    </row>
    <row r="458" spans="1:11" ht="15.75" customHeight="1" x14ac:dyDescent="0.25">
      <c r="A458" s="100" t="s">
        <v>85</v>
      </c>
      <c r="B458" s="100">
        <v>162</v>
      </c>
      <c r="C458" s="100">
        <v>149</v>
      </c>
      <c r="D458" s="100">
        <v>168</v>
      </c>
      <c r="E458" s="100">
        <v>179</v>
      </c>
      <c r="F458" s="100">
        <v>173</v>
      </c>
      <c r="G458" s="100">
        <v>219</v>
      </c>
      <c r="H458" s="100">
        <v>117</v>
      </c>
      <c r="I458" s="101">
        <f t="shared" si="13"/>
        <v>1167</v>
      </c>
      <c r="J458" s="283"/>
      <c r="K458" s="283"/>
    </row>
    <row r="459" spans="1:11" ht="15.75" customHeight="1" x14ac:dyDescent="0.25">
      <c r="A459" s="100" t="s">
        <v>83</v>
      </c>
      <c r="B459" s="100">
        <v>354</v>
      </c>
      <c r="C459" s="100">
        <v>374</v>
      </c>
      <c r="D459" s="100">
        <v>426</v>
      </c>
      <c r="E459" s="100">
        <v>465</v>
      </c>
      <c r="F459" s="100">
        <v>406</v>
      </c>
      <c r="G459" s="100">
        <v>625</v>
      </c>
      <c r="H459" s="100">
        <v>319</v>
      </c>
      <c r="I459" s="101">
        <f t="shared" si="13"/>
        <v>2969</v>
      </c>
      <c r="J459" s="283"/>
      <c r="K459" s="283"/>
    </row>
    <row r="460" spans="1:11" ht="15.75" customHeight="1" x14ac:dyDescent="0.25">
      <c r="A460" s="100" t="s">
        <v>86</v>
      </c>
      <c r="B460" s="100">
        <v>101</v>
      </c>
      <c r="C460" s="100">
        <v>102</v>
      </c>
      <c r="D460" s="100">
        <v>98</v>
      </c>
      <c r="E460" s="100">
        <v>105</v>
      </c>
      <c r="F460" s="100">
        <v>104</v>
      </c>
      <c r="G460" s="100">
        <v>116</v>
      </c>
      <c r="H460" s="100">
        <v>102</v>
      </c>
      <c r="I460" s="101">
        <f t="shared" si="13"/>
        <v>728</v>
      </c>
      <c r="J460" s="283"/>
      <c r="K460" s="283"/>
    </row>
    <row r="461" spans="1:11" ht="15.75" customHeight="1" x14ac:dyDescent="0.25">
      <c r="A461" s="100" t="s">
        <v>105</v>
      </c>
      <c r="B461" s="100">
        <v>142</v>
      </c>
      <c r="C461" s="100">
        <v>165</v>
      </c>
      <c r="D461" s="100">
        <v>280</v>
      </c>
      <c r="E461" s="100">
        <v>154</v>
      </c>
      <c r="F461" s="267">
        <v>183</v>
      </c>
      <c r="G461" s="100">
        <v>158</v>
      </c>
      <c r="H461" s="267">
        <v>128</v>
      </c>
      <c r="I461" s="101">
        <f t="shared" si="13"/>
        <v>1210</v>
      </c>
      <c r="J461" s="283"/>
      <c r="K461" s="283"/>
    </row>
    <row r="462" spans="1:11" ht="15.75" customHeight="1" x14ac:dyDescent="0.25">
      <c r="A462" s="100" t="s">
        <v>106</v>
      </c>
      <c r="B462" s="100">
        <v>76</v>
      </c>
      <c r="C462" s="100">
        <v>78</v>
      </c>
      <c r="D462" s="100">
        <v>81</v>
      </c>
      <c r="E462" s="100">
        <v>70</v>
      </c>
      <c r="F462" s="100">
        <v>71</v>
      </c>
      <c r="G462" s="100">
        <v>99</v>
      </c>
      <c r="H462" s="100">
        <v>79</v>
      </c>
      <c r="I462" s="101">
        <f t="shared" si="13"/>
        <v>554</v>
      </c>
      <c r="J462" s="283"/>
      <c r="K462" s="283"/>
    </row>
    <row r="463" spans="1:11" ht="15.75" customHeight="1" x14ac:dyDescent="0.25">
      <c r="A463" s="100" t="s">
        <v>107</v>
      </c>
      <c r="B463" s="100">
        <v>55</v>
      </c>
      <c r="C463" s="100">
        <v>52</v>
      </c>
      <c r="D463" s="267">
        <v>69</v>
      </c>
      <c r="E463" s="100">
        <v>46</v>
      </c>
      <c r="F463" s="100">
        <v>54</v>
      </c>
      <c r="G463" s="100">
        <v>84</v>
      </c>
      <c r="H463" s="264" t="s">
        <v>153</v>
      </c>
      <c r="I463" s="101">
        <f t="shared" si="13"/>
        <v>360</v>
      </c>
      <c r="J463" s="283"/>
      <c r="K463" s="283"/>
    </row>
    <row r="464" spans="1:11" ht="15.75" customHeight="1" x14ac:dyDescent="0.25">
      <c r="A464" s="100" t="s">
        <v>108</v>
      </c>
      <c r="B464" s="100" t="s">
        <v>100</v>
      </c>
      <c r="C464" s="100" t="s">
        <v>100</v>
      </c>
      <c r="D464" s="247" t="s">
        <v>100</v>
      </c>
      <c r="E464" s="248" t="s">
        <v>100</v>
      </c>
      <c r="F464" s="100" t="s">
        <v>100</v>
      </c>
      <c r="G464" s="100" t="s">
        <v>100</v>
      </c>
      <c r="H464" s="100" t="s">
        <v>100</v>
      </c>
      <c r="I464" s="101">
        <f t="shared" si="13"/>
        <v>0</v>
      </c>
      <c r="J464" s="283"/>
      <c r="K464" s="283"/>
    </row>
    <row r="465" spans="1:11" ht="15.75" customHeight="1" x14ac:dyDescent="0.25">
      <c r="A465" s="260"/>
      <c r="B465" s="257"/>
      <c r="C465" s="257"/>
      <c r="D465" s="257"/>
      <c r="E465" s="257"/>
      <c r="F465" s="257"/>
      <c r="G465" s="257"/>
      <c r="H465" s="254" t="s">
        <v>74</v>
      </c>
      <c r="I465" s="266">
        <f>SUM(I447:I464)</f>
        <v>24218</v>
      </c>
      <c r="J465" s="283"/>
      <c r="K465" s="283"/>
    </row>
    <row r="466" spans="1:11" ht="15.75" customHeight="1" x14ac:dyDescent="0.2"/>
    <row r="467" spans="1:11" ht="15.75" customHeight="1" x14ac:dyDescent="0.2"/>
    <row r="468" spans="1:11" ht="15.75" customHeight="1" x14ac:dyDescent="0.2"/>
    <row r="469" spans="1:11" ht="15.75" customHeight="1" x14ac:dyDescent="0.2"/>
    <row r="470" spans="1:11" ht="15.75" customHeight="1" x14ac:dyDescent="0.2"/>
    <row r="471" spans="1:11" ht="15.75" customHeight="1" x14ac:dyDescent="0.2"/>
    <row r="472" spans="1:11" ht="15.75" customHeight="1" x14ac:dyDescent="0.2"/>
    <row r="473" spans="1:11" ht="15.75" customHeight="1" x14ac:dyDescent="0.2"/>
    <row r="474" spans="1:11" ht="15.75" customHeight="1" x14ac:dyDescent="0.2"/>
    <row r="475" spans="1:11" ht="15.75" customHeight="1" x14ac:dyDescent="0.2"/>
    <row r="476" spans="1:11" ht="15.75" customHeight="1" x14ac:dyDescent="0.2"/>
    <row r="477" spans="1:11" ht="15.75" customHeight="1" x14ac:dyDescent="0.2"/>
    <row r="478" spans="1:11" ht="15.75" customHeight="1" x14ac:dyDescent="0.2"/>
    <row r="479" spans="1:11" ht="15.75" customHeight="1" x14ac:dyDescent="0.2"/>
    <row r="480" spans="1:11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0">
    <mergeCell ref="C1:H1"/>
    <mergeCell ref="C25:H25"/>
    <mergeCell ref="C49:H49"/>
    <mergeCell ref="C73:H73"/>
    <mergeCell ref="D97:I97"/>
    <mergeCell ref="C444:H444"/>
    <mergeCell ref="C421:H421"/>
    <mergeCell ref="C121:H121"/>
    <mergeCell ref="C145:H145"/>
    <mergeCell ref="C168:H168"/>
    <mergeCell ref="C191:H191"/>
    <mergeCell ref="C283:H283"/>
    <mergeCell ref="C260:H260"/>
    <mergeCell ref="C237:H237"/>
    <mergeCell ref="C398:H398"/>
    <mergeCell ref="C214:H214"/>
    <mergeCell ref="C375:H375"/>
    <mergeCell ref="C352:H352"/>
    <mergeCell ref="C329:H329"/>
    <mergeCell ref="C306:H306"/>
  </mergeCell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0BE4B-8D32-4FD6-98AD-E58C8A2D0BB6}">
  <sheetPr>
    <tabColor rgb="FFFF0000"/>
  </sheetPr>
  <dimension ref="A1:O82"/>
  <sheetViews>
    <sheetView zoomScale="71" zoomScaleNormal="71" workbookViewId="0">
      <selection activeCell="M14" sqref="M14"/>
    </sheetView>
  </sheetViews>
  <sheetFormatPr baseColWidth="10" defaultRowHeight="14.25" x14ac:dyDescent="0.2"/>
  <cols>
    <col min="1" max="1" width="17.125" style="110" customWidth="1"/>
    <col min="2" max="2" width="17" style="110" customWidth="1"/>
    <col min="3" max="3" width="15" style="110" customWidth="1"/>
    <col min="4" max="4" width="17.625" style="110" customWidth="1"/>
    <col min="5" max="5" width="23.75" style="110" customWidth="1"/>
    <col min="6" max="6" width="28.375" style="110" customWidth="1"/>
    <col min="7" max="7" width="22.875" style="110" customWidth="1"/>
    <col min="8" max="8" width="21.375" style="110" customWidth="1"/>
    <col min="9" max="9" width="26.375" style="110" customWidth="1"/>
    <col min="10" max="10" width="22.25" style="110" customWidth="1"/>
    <col min="11" max="11" width="20.875" style="110" customWidth="1"/>
    <col min="12" max="12" width="18.75" style="110" customWidth="1"/>
    <col min="13" max="13" width="20.75" style="197" customWidth="1"/>
    <col min="14" max="14" width="16.625" style="197" customWidth="1"/>
    <col min="15" max="15" width="14.375" style="197" customWidth="1"/>
  </cols>
  <sheetData>
    <row r="1" spans="1:15" ht="34.5" customHeight="1" thickBot="1" x14ac:dyDescent="0.25">
      <c r="A1" s="163" t="s">
        <v>326</v>
      </c>
      <c r="B1" s="163"/>
      <c r="C1" s="105" t="s">
        <v>72</v>
      </c>
      <c r="D1" s="164"/>
      <c r="E1" s="163"/>
      <c r="F1" s="106" t="s">
        <v>73</v>
      </c>
      <c r="I1" s="108" t="s">
        <v>250</v>
      </c>
      <c r="J1" s="106" t="s">
        <v>251</v>
      </c>
      <c r="K1" s="109" t="s">
        <v>249</v>
      </c>
      <c r="L1" s="164"/>
      <c r="M1" s="165"/>
      <c r="N1" s="165"/>
      <c r="O1" s="165"/>
    </row>
    <row r="2" spans="1:15" ht="54" customHeight="1" thickBot="1" x14ac:dyDescent="0.25">
      <c r="A2" s="307" t="s">
        <v>327</v>
      </c>
      <c r="B2" s="315" t="s">
        <v>15</v>
      </c>
      <c r="C2" s="166" t="s">
        <v>252</v>
      </c>
      <c r="D2" s="320" t="s">
        <v>327</v>
      </c>
      <c r="E2" s="112" t="s">
        <v>15</v>
      </c>
      <c r="F2" s="167" t="s">
        <v>328</v>
      </c>
      <c r="H2" s="304" t="s">
        <v>327</v>
      </c>
      <c r="I2" s="114">
        <v>133.9</v>
      </c>
      <c r="J2" s="115">
        <v>170</v>
      </c>
      <c r="K2" s="116">
        <v>99</v>
      </c>
      <c r="L2" s="164"/>
      <c r="M2" s="323" t="s">
        <v>327</v>
      </c>
      <c r="N2" s="168" t="s">
        <v>270</v>
      </c>
      <c r="O2" s="169">
        <v>1012.7</v>
      </c>
    </row>
    <row r="3" spans="1:15" ht="36" customHeight="1" thickBot="1" x14ac:dyDescent="0.25">
      <c r="A3" s="308"/>
      <c r="B3" s="316"/>
      <c r="C3" s="117" t="s">
        <v>254</v>
      </c>
      <c r="D3" s="321"/>
      <c r="E3" s="112" t="s">
        <v>28</v>
      </c>
      <c r="F3" s="170" t="s">
        <v>255</v>
      </c>
      <c r="G3" s="163"/>
      <c r="H3" s="305"/>
      <c r="I3" s="118">
        <v>14</v>
      </c>
      <c r="J3" s="119">
        <v>328</v>
      </c>
      <c r="K3" s="120"/>
      <c r="L3" s="164"/>
      <c r="M3" s="324"/>
      <c r="N3" s="171" t="s">
        <v>271</v>
      </c>
      <c r="O3" s="172">
        <v>1286</v>
      </c>
    </row>
    <row r="4" spans="1:15" ht="44.25" customHeight="1" thickBot="1" x14ac:dyDescent="0.25">
      <c r="A4" s="308"/>
      <c r="B4" s="317"/>
      <c r="C4" s="173" t="s">
        <v>256</v>
      </c>
      <c r="D4" s="321"/>
      <c r="E4" s="112" t="s">
        <v>34</v>
      </c>
      <c r="F4" s="122" t="s">
        <v>257</v>
      </c>
      <c r="G4" s="163"/>
      <c r="H4" s="305"/>
      <c r="I4" s="118">
        <v>139</v>
      </c>
      <c r="J4" s="119">
        <v>89</v>
      </c>
      <c r="K4" s="120"/>
      <c r="L4" s="164"/>
      <c r="M4" s="325"/>
      <c r="N4" s="174" t="s">
        <v>249</v>
      </c>
      <c r="O4" s="175">
        <v>99</v>
      </c>
    </row>
    <row r="5" spans="1:15" ht="45" thickBot="1" x14ac:dyDescent="0.25">
      <c r="A5" s="308"/>
      <c r="B5" s="315" t="s">
        <v>34</v>
      </c>
      <c r="C5" s="123" t="s">
        <v>258</v>
      </c>
      <c r="D5" s="321"/>
      <c r="E5" s="112" t="s">
        <v>41</v>
      </c>
      <c r="F5" s="122" t="s">
        <v>259</v>
      </c>
      <c r="G5" s="163"/>
      <c r="H5" s="305"/>
      <c r="I5" s="118">
        <v>79</v>
      </c>
      <c r="J5" s="119">
        <v>249</v>
      </c>
      <c r="K5" s="120"/>
      <c r="L5" s="164"/>
      <c r="M5" s="323" t="s">
        <v>329</v>
      </c>
      <c r="N5" s="176" t="s">
        <v>270</v>
      </c>
      <c r="O5" s="177">
        <v>1455.2</v>
      </c>
    </row>
    <row r="6" spans="1:15" ht="37.5" customHeight="1" thickBot="1" x14ac:dyDescent="0.25">
      <c r="A6" s="308"/>
      <c r="B6" s="317"/>
      <c r="C6" s="121" t="s">
        <v>260</v>
      </c>
      <c r="D6" s="321"/>
      <c r="E6" s="112" t="s">
        <v>47</v>
      </c>
      <c r="F6" s="112" t="s">
        <v>261</v>
      </c>
      <c r="G6" s="163"/>
      <c r="H6" s="305"/>
      <c r="I6" s="118">
        <v>149</v>
      </c>
      <c r="J6" s="119">
        <v>38</v>
      </c>
      <c r="K6" s="120"/>
      <c r="L6" s="164"/>
      <c r="M6" s="325"/>
      <c r="N6" s="178" t="s">
        <v>271</v>
      </c>
      <c r="O6" s="179">
        <v>637</v>
      </c>
    </row>
    <row r="7" spans="1:15" ht="44.25" thickBot="1" x14ac:dyDescent="0.25">
      <c r="A7" s="308"/>
      <c r="B7" s="124" t="s">
        <v>15</v>
      </c>
      <c r="C7" s="180" t="s">
        <v>262</v>
      </c>
      <c r="D7" s="321"/>
      <c r="E7" s="112" t="s">
        <v>41</v>
      </c>
      <c r="F7" s="112" t="s">
        <v>263</v>
      </c>
      <c r="G7" s="163"/>
      <c r="H7" s="305"/>
      <c r="I7" s="118">
        <v>65</v>
      </c>
      <c r="J7" s="119">
        <v>159</v>
      </c>
      <c r="K7" s="120"/>
      <c r="L7" s="164"/>
      <c r="M7" s="165"/>
      <c r="N7" s="165"/>
      <c r="O7" s="165"/>
    </row>
    <row r="8" spans="1:15" ht="74.25" thickBot="1" x14ac:dyDescent="0.25">
      <c r="A8" s="308"/>
      <c r="B8" s="124" t="s">
        <v>63</v>
      </c>
      <c r="C8" s="124" t="s">
        <v>264</v>
      </c>
      <c r="D8" s="321"/>
      <c r="E8" s="112" t="s">
        <v>85</v>
      </c>
      <c r="F8" s="112" t="s">
        <v>265</v>
      </c>
      <c r="G8" s="163"/>
      <c r="H8" s="305"/>
      <c r="I8" s="125">
        <v>253.9</v>
      </c>
      <c r="J8" s="119">
        <v>109</v>
      </c>
      <c r="K8" s="120"/>
      <c r="L8" s="164"/>
      <c r="M8" s="165"/>
      <c r="N8" s="165"/>
      <c r="O8" s="165"/>
    </row>
    <row r="9" spans="1:15" ht="30" thickBot="1" x14ac:dyDescent="0.25">
      <c r="A9" s="308"/>
      <c r="B9" s="124" t="s">
        <v>69</v>
      </c>
      <c r="C9" s="117" t="s">
        <v>266</v>
      </c>
      <c r="D9" s="321"/>
      <c r="E9" s="112" t="s">
        <v>15</v>
      </c>
      <c r="F9" s="167" t="s">
        <v>267</v>
      </c>
      <c r="G9" s="163"/>
      <c r="H9" s="305"/>
      <c r="I9" s="118">
        <v>89</v>
      </c>
      <c r="J9" s="119">
        <v>35</v>
      </c>
      <c r="K9" s="120"/>
      <c r="L9" s="164"/>
      <c r="M9" s="165"/>
      <c r="N9" s="165"/>
      <c r="O9" s="165"/>
    </row>
    <row r="10" spans="1:15" ht="58.5" thickBot="1" x14ac:dyDescent="0.25">
      <c r="A10" s="309"/>
      <c r="B10" s="124" t="s">
        <v>15</v>
      </c>
      <c r="C10" s="166" t="s">
        <v>268</v>
      </c>
      <c r="D10" s="322"/>
      <c r="E10" s="112" t="s">
        <v>47</v>
      </c>
      <c r="F10" s="126" t="s">
        <v>269</v>
      </c>
      <c r="G10" s="163"/>
      <c r="H10" s="306"/>
      <c r="I10" s="127">
        <v>89.9</v>
      </c>
      <c r="J10" s="128">
        <v>109</v>
      </c>
      <c r="K10" s="129"/>
      <c r="L10" s="164"/>
      <c r="M10" s="165"/>
      <c r="N10" s="165"/>
      <c r="O10" s="165"/>
    </row>
    <row r="11" spans="1:15" ht="16.5" thickBot="1" x14ac:dyDescent="0.25">
      <c r="A11" s="181"/>
      <c r="B11" s="181"/>
      <c r="C11" s="182">
        <v>1012.7</v>
      </c>
      <c r="D11" s="165"/>
      <c r="E11" s="181"/>
      <c r="F11" s="183">
        <v>1286</v>
      </c>
      <c r="G11" s="163"/>
      <c r="H11" s="304" t="s">
        <v>329</v>
      </c>
      <c r="I11" s="114">
        <v>189</v>
      </c>
      <c r="J11" s="184">
        <v>69</v>
      </c>
      <c r="K11" s="163"/>
      <c r="L11" s="164"/>
      <c r="M11" s="165"/>
      <c r="N11" s="165"/>
      <c r="O11" s="165"/>
    </row>
    <row r="12" spans="1:15" ht="15" thickBot="1" x14ac:dyDescent="0.25">
      <c r="A12" s="181"/>
      <c r="B12" s="181"/>
      <c r="C12" s="185"/>
      <c r="D12" s="165"/>
      <c r="E12" s="181"/>
      <c r="F12" s="181"/>
      <c r="G12" s="163"/>
      <c r="H12" s="305"/>
      <c r="I12" s="118">
        <v>499.5</v>
      </c>
      <c r="J12" s="186">
        <v>60</v>
      </c>
      <c r="K12" s="163"/>
      <c r="L12" s="164"/>
      <c r="M12" s="165"/>
      <c r="N12" s="165"/>
      <c r="O12" s="165"/>
    </row>
    <row r="13" spans="1:15" ht="44.25" thickBot="1" x14ac:dyDescent="0.25">
      <c r="A13" s="307" t="s">
        <v>329</v>
      </c>
      <c r="B13" s="124" t="s">
        <v>28</v>
      </c>
      <c r="C13" s="180" t="s">
        <v>330</v>
      </c>
      <c r="D13" s="310" t="s">
        <v>331</v>
      </c>
      <c r="E13" s="313" t="s">
        <v>47</v>
      </c>
      <c r="F13" s="187" t="s">
        <v>332</v>
      </c>
      <c r="G13" s="163"/>
      <c r="H13" s="305"/>
      <c r="I13" s="188">
        <v>69.8</v>
      </c>
      <c r="J13" s="189">
        <v>389</v>
      </c>
      <c r="K13" s="190"/>
      <c r="L13" s="185"/>
      <c r="M13" s="163"/>
      <c r="N13" s="191"/>
      <c r="O13" s="192"/>
    </row>
    <row r="14" spans="1:15" ht="44.25" thickBot="1" x14ac:dyDescent="0.25">
      <c r="A14" s="308"/>
      <c r="B14" s="315" t="s">
        <v>15</v>
      </c>
      <c r="C14" s="166" t="s">
        <v>333</v>
      </c>
      <c r="D14" s="311"/>
      <c r="E14" s="314"/>
      <c r="F14" s="126" t="s">
        <v>334</v>
      </c>
      <c r="G14" s="163"/>
      <c r="H14" s="305"/>
      <c r="I14" s="188">
        <v>99</v>
      </c>
      <c r="J14" s="189">
        <v>119</v>
      </c>
      <c r="K14" s="190"/>
      <c r="L14" s="192"/>
      <c r="M14" s="193"/>
      <c r="N14" s="194"/>
      <c r="O14" s="194"/>
    </row>
    <row r="15" spans="1:15" ht="58.5" thickBot="1" x14ac:dyDescent="0.25">
      <c r="A15" s="308"/>
      <c r="B15" s="316"/>
      <c r="C15" s="173" t="s">
        <v>335</v>
      </c>
      <c r="D15" s="311"/>
      <c r="E15" s="195" t="s">
        <v>69</v>
      </c>
      <c r="F15" s="126" t="s">
        <v>336</v>
      </c>
      <c r="G15" s="163"/>
      <c r="H15" s="305"/>
      <c r="I15" s="188">
        <v>198</v>
      </c>
      <c r="J15" s="196"/>
      <c r="K15" s="190"/>
      <c r="L15" s="192"/>
      <c r="M15" s="193"/>
      <c r="O15" s="198"/>
    </row>
    <row r="16" spans="1:15" ht="44.25" thickBot="1" x14ac:dyDescent="0.25">
      <c r="A16" s="308"/>
      <c r="B16" s="316"/>
      <c r="C16" s="173" t="s">
        <v>337</v>
      </c>
      <c r="D16" s="312"/>
      <c r="E16" s="195" t="s">
        <v>90</v>
      </c>
      <c r="F16" s="126" t="s">
        <v>338</v>
      </c>
      <c r="G16" s="163"/>
      <c r="H16" s="305"/>
      <c r="I16" s="199">
        <v>39.9</v>
      </c>
      <c r="J16" s="200"/>
      <c r="K16" s="190"/>
      <c r="L16" s="192"/>
      <c r="M16" s="193"/>
      <c r="N16" s="198"/>
      <c r="O16" s="198"/>
    </row>
    <row r="17" spans="1:15" ht="58.5" thickBot="1" x14ac:dyDescent="0.25">
      <c r="A17" s="308"/>
      <c r="B17" s="316"/>
      <c r="C17" s="117" t="s">
        <v>339</v>
      </c>
      <c r="D17" s="163"/>
      <c r="E17" s="190"/>
      <c r="F17" s="201"/>
      <c r="G17" s="163"/>
      <c r="H17" s="305"/>
      <c r="I17" s="199">
        <v>149</v>
      </c>
      <c r="J17" s="200"/>
      <c r="K17" s="190"/>
      <c r="L17" s="185"/>
      <c r="M17" s="163"/>
      <c r="N17" s="190"/>
      <c r="O17" s="190"/>
    </row>
    <row r="18" spans="1:15" ht="44.25" thickBot="1" x14ac:dyDescent="0.25">
      <c r="A18" s="308"/>
      <c r="B18" s="317"/>
      <c r="C18" s="117" t="s">
        <v>340</v>
      </c>
      <c r="D18" s="185"/>
      <c r="E18" s="185"/>
      <c r="F18" s="185"/>
      <c r="G18" s="185"/>
      <c r="H18" s="305"/>
      <c r="I18" s="202">
        <v>81</v>
      </c>
      <c r="J18" s="200"/>
      <c r="K18" s="163"/>
      <c r="L18" s="163"/>
      <c r="M18" s="163"/>
      <c r="O18" s="165"/>
    </row>
    <row r="19" spans="1:15" ht="44.25" thickBot="1" x14ac:dyDescent="0.25">
      <c r="A19" s="308"/>
      <c r="B19" s="318" t="s">
        <v>34</v>
      </c>
      <c r="C19" s="111" t="s">
        <v>341</v>
      </c>
      <c r="E19" s="104"/>
      <c r="F19" s="107" t="s">
        <v>249</v>
      </c>
      <c r="G19" s="164"/>
      <c r="H19" s="306"/>
      <c r="I19" s="203">
        <v>130</v>
      </c>
      <c r="J19" s="204"/>
      <c r="K19" s="163"/>
      <c r="L19" s="163"/>
      <c r="M19" s="163"/>
      <c r="N19" s="165"/>
      <c r="O19" s="165"/>
    </row>
    <row r="20" spans="1:15" ht="44.25" thickBot="1" x14ac:dyDescent="0.25">
      <c r="A20" s="308"/>
      <c r="B20" s="319"/>
      <c r="C20" s="121" t="s">
        <v>342</v>
      </c>
      <c r="D20" s="205" t="s">
        <v>327</v>
      </c>
      <c r="E20" s="113" t="s">
        <v>15</v>
      </c>
      <c r="F20" s="206" t="s">
        <v>253</v>
      </c>
      <c r="G20" s="164"/>
      <c r="K20" s="163"/>
      <c r="L20" s="163"/>
      <c r="M20" s="163"/>
      <c r="N20" s="165"/>
      <c r="O20" s="165"/>
    </row>
    <row r="21" spans="1:15" ht="58.5" thickBot="1" x14ac:dyDescent="0.25">
      <c r="A21" s="309"/>
      <c r="B21" s="180" t="s">
        <v>47</v>
      </c>
      <c r="C21" s="124" t="s">
        <v>343</v>
      </c>
      <c r="D21" s="185"/>
      <c r="E21" s="185"/>
      <c r="F21" s="207">
        <v>99</v>
      </c>
      <c r="G21" s="164"/>
      <c r="K21" s="104"/>
      <c r="L21" s="163"/>
      <c r="M21" s="163"/>
      <c r="N21" s="165"/>
      <c r="O21" s="165"/>
    </row>
    <row r="22" spans="1:15" ht="16.5" thickBot="1" x14ac:dyDescent="0.25">
      <c r="A22" s="185"/>
      <c r="B22" s="185"/>
      <c r="C22" s="208"/>
      <c r="D22" s="185"/>
      <c r="E22" s="185"/>
      <c r="F22" s="185"/>
      <c r="G22" s="164"/>
      <c r="H22" s="164"/>
      <c r="I22" s="164"/>
      <c r="J22" s="163"/>
      <c r="K22" s="163"/>
      <c r="L22" s="163"/>
      <c r="M22" s="163"/>
      <c r="N22" s="165"/>
      <c r="O22" s="165"/>
    </row>
    <row r="23" spans="1:15" x14ac:dyDescent="0.2">
      <c r="A23" s="185"/>
      <c r="B23" s="185"/>
      <c r="C23" s="185"/>
      <c r="D23" s="185"/>
      <c r="E23" s="185"/>
      <c r="F23" s="185"/>
      <c r="G23" s="163"/>
      <c r="H23" s="163"/>
      <c r="I23" s="163"/>
      <c r="J23" s="163"/>
      <c r="K23" s="163"/>
      <c r="L23" s="163"/>
      <c r="M23" s="163"/>
      <c r="N23" s="165"/>
      <c r="O23" s="165"/>
    </row>
    <row r="24" spans="1:15" ht="15.75" thickBot="1" x14ac:dyDescent="0.25">
      <c r="A24" s="295" t="s">
        <v>272</v>
      </c>
      <c r="B24" s="296"/>
      <c r="C24" s="296"/>
      <c r="D24" s="296"/>
      <c r="E24" s="296"/>
      <c r="F24" s="296"/>
      <c r="G24" s="296"/>
      <c r="H24" s="296"/>
      <c r="I24" s="296"/>
      <c r="J24" s="296"/>
      <c r="K24" s="296"/>
      <c r="L24" s="296"/>
      <c r="M24" s="296"/>
      <c r="N24" s="165"/>
      <c r="O24" s="165"/>
    </row>
    <row r="25" spans="1:15" ht="15.75" thickBot="1" x14ac:dyDescent="0.25">
      <c r="A25" s="295" t="s">
        <v>216</v>
      </c>
      <c r="B25" s="296"/>
      <c r="C25" s="297"/>
      <c r="D25" s="130" t="s">
        <v>273</v>
      </c>
      <c r="E25" s="131" t="s">
        <v>28</v>
      </c>
      <c r="F25" s="131" t="s">
        <v>238</v>
      </c>
      <c r="G25" s="131" t="s">
        <v>34</v>
      </c>
      <c r="H25" s="132" t="s">
        <v>274</v>
      </c>
      <c r="I25" s="131" t="s">
        <v>47</v>
      </c>
      <c r="J25" s="131" t="s">
        <v>63</v>
      </c>
      <c r="K25" s="131" t="s">
        <v>85</v>
      </c>
      <c r="L25" s="131" t="s">
        <v>69</v>
      </c>
      <c r="M25" s="131" t="s">
        <v>90</v>
      </c>
      <c r="N25" s="165"/>
      <c r="O25" s="165"/>
    </row>
    <row r="26" spans="1:15" ht="30" thickBot="1" x14ac:dyDescent="0.25">
      <c r="A26" s="298" t="s">
        <v>275</v>
      </c>
      <c r="B26" s="301" t="s">
        <v>276</v>
      </c>
      <c r="C26" s="291">
        <v>46113</v>
      </c>
      <c r="D26" s="133" t="s">
        <v>277</v>
      </c>
      <c r="E26" s="134"/>
      <c r="F26" s="166" t="s">
        <v>252</v>
      </c>
      <c r="G26" s="134"/>
      <c r="H26" s="134"/>
      <c r="I26" s="134"/>
      <c r="J26" s="134"/>
      <c r="K26" s="134"/>
      <c r="L26" s="134"/>
      <c r="M26" s="134"/>
      <c r="N26" s="165"/>
      <c r="O26" s="165"/>
    </row>
    <row r="27" spans="1:15" ht="30" thickBot="1" x14ac:dyDescent="0.25">
      <c r="A27" s="299"/>
      <c r="B27" s="302"/>
      <c r="C27" s="292"/>
      <c r="D27" s="133" t="s">
        <v>277</v>
      </c>
      <c r="E27" s="135"/>
      <c r="F27" s="117" t="s">
        <v>344</v>
      </c>
      <c r="G27" s="135"/>
      <c r="H27" s="135"/>
      <c r="I27" s="135"/>
      <c r="J27" s="135"/>
      <c r="K27" s="135"/>
      <c r="L27" s="135"/>
      <c r="M27" s="135"/>
      <c r="N27" s="165"/>
      <c r="O27" s="165"/>
    </row>
    <row r="28" spans="1:15" ht="30" thickBot="1" x14ac:dyDescent="0.25">
      <c r="A28" s="300"/>
      <c r="B28" s="303"/>
      <c r="C28" s="209">
        <v>46115</v>
      </c>
      <c r="D28" s="122" t="s">
        <v>26</v>
      </c>
      <c r="E28" s="136"/>
      <c r="F28" s="210" t="s">
        <v>345</v>
      </c>
      <c r="G28" s="136"/>
      <c r="H28" s="136"/>
      <c r="I28" s="136"/>
      <c r="J28" s="136"/>
      <c r="K28" s="136"/>
      <c r="L28" s="136"/>
      <c r="M28" s="136"/>
      <c r="N28" s="165"/>
      <c r="O28" s="165"/>
    </row>
    <row r="29" spans="1:15" ht="30.75" thickBot="1" x14ac:dyDescent="0.25">
      <c r="A29" s="298" t="s">
        <v>278</v>
      </c>
      <c r="B29" s="301" t="s">
        <v>279</v>
      </c>
      <c r="C29" s="211">
        <v>46120</v>
      </c>
      <c r="D29" s="122" t="s">
        <v>26</v>
      </c>
      <c r="E29" s="170" t="s">
        <v>346</v>
      </c>
      <c r="F29" s="137"/>
      <c r="G29" s="138" t="s">
        <v>257</v>
      </c>
      <c r="H29" s="139"/>
      <c r="I29" s="140"/>
      <c r="J29" s="134"/>
      <c r="K29" s="134"/>
      <c r="L29" s="134"/>
      <c r="M29" s="134"/>
      <c r="N29" s="165"/>
      <c r="O29" s="165"/>
    </row>
    <row r="30" spans="1:15" ht="44.25" thickBot="1" x14ac:dyDescent="0.25">
      <c r="A30" s="299"/>
      <c r="B30" s="302"/>
      <c r="C30" s="211">
        <v>46121</v>
      </c>
      <c r="D30" s="133" t="s">
        <v>277</v>
      </c>
      <c r="E30" s="212"/>
      <c r="F30" s="173" t="s">
        <v>347</v>
      </c>
      <c r="G30" s="141"/>
      <c r="H30" s="141"/>
      <c r="I30" s="142"/>
      <c r="J30" s="135"/>
      <c r="K30" s="135"/>
      <c r="L30" s="135"/>
      <c r="M30" s="135"/>
      <c r="N30" s="165"/>
      <c r="O30" s="165"/>
    </row>
    <row r="31" spans="1:15" ht="30.75" thickBot="1" x14ac:dyDescent="0.25">
      <c r="A31" s="299"/>
      <c r="B31" s="302"/>
      <c r="C31" s="293">
        <v>46125</v>
      </c>
      <c r="D31" s="143" t="s">
        <v>26</v>
      </c>
      <c r="E31" s="212"/>
      <c r="F31" s="212"/>
      <c r="G31" s="141"/>
      <c r="H31" s="144" t="s">
        <v>259</v>
      </c>
      <c r="I31" s="142"/>
      <c r="J31" s="135"/>
      <c r="K31" s="135"/>
      <c r="L31" s="135"/>
      <c r="M31" s="135"/>
      <c r="N31" s="165"/>
      <c r="O31" s="165"/>
    </row>
    <row r="32" spans="1:15" ht="30" thickBot="1" x14ac:dyDescent="0.25">
      <c r="A32" s="299"/>
      <c r="B32" s="302"/>
      <c r="C32" s="294"/>
      <c r="D32" s="145" t="s">
        <v>249</v>
      </c>
      <c r="E32" s="212"/>
      <c r="F32" s="213" t="s">
        <v>348</v>
      </c>
      <c r="G32" s="141"/>
      <c r="H32" s="141"/>
      <c r="I32" s="142"/>
      <c r="J32" s="135"/>
      <c r="K32" s="135"/>
      <c r="L32" s="135"/>
      <c r="M32" s="135"/>
      <c r="N32" s="165"/>
      <c r="O32" s="165"/>
    </row>
    <row r="33" spans="1:15" ht="30" thickBot="1" x14ac:dyDescent="0.25">
      <c r="A33" s="299"/>
      <c r="B33" s="302"/>
      <c r="C33" s="293">
        <v>46126</v>
      </c>
      <c r="D33" s="143" t="s">
        <v>26</v>
      </c>
      <c r="E33" s="212"/>
      <c r="F33" s="214"/>
      <c r="G33" s="141"/>
      <c r="H33" s="141"/>
      <c r="I33" s="146" t="s">
        <v>349</v>
      </c>
      <c r="J33" s="135"/>
      <c r="K33" s="135"/>
      <c r="L33" s="135"/>
      <c r="M33" s="135"/>
      <c r="N33" s="165"/>
      <c r="O33" s="165"/>
    </row>
    <row r="34" spans="1:15" ht="30.75" thickBot="1" x14ac:dyDescent="0.25">
      <c r="A34" s="300"/>
      <c r="B34" s="303"/>
      <c r="C34" s="294"/>
      <c r="D34" s="133" t="s">
        <v>277</v>
      </c>
      <c r="E34" s="215"/>
      <c r="F34" s="215"/>
      <c r="G34" s="147" t="s">
        <v>258</v>
      </c>
      <c r="H34" s="148"/>
      <c r="I34" s="148"/>
      <c r="J34" s="136"/>
      <c r="K34" s="136"/>
      <c r="L34" s="136"/>
      <c r="M34" s="136"/>
      <c r="N34" s="165"/>
      <c r="O34" s="165"/>
    </row>
    <row r="35" spans="1:15" ht="30" thickBot="1" x14ac:dyDescent="0.25">
      <c r="A35" s="216" t="s">
        <v>280</v>
      </c>
      <c r="B35" s="180" t="s">
        <v>281</v>
      </c>
      <c r="C35" s="211">
        <v>46128</v>
      </c>
      <c r="D35" s="133" t="s">
        <v>277</v>
      </c>
      <c r="E35" s="217"/>
      <c r="F35" s="217"/>
      <c r="G35" s="124" t="s">
        <v>260</v>
      </c>
      <c r="H35" s="149"/>
      <c r="I35" s="150"/>
      <c r="J35" s="136"/>
      <c r="K35" s="136"/>
      <c r="L35" s="136"/>
      <c r="M35" s="136"/>
      <c r="N35" s="165"/>
      <c r="O35" s="165"/>
    </row>
    <row r="36" spans="1:15" ht="44.25" thickBot="1" x14ac:dyDescent="0.25">
      <c r="A36" s="298" t="s">
        <v>282</v>
      </c>
      <c r="B36" s="326" t="s">
        <v>283</v>
      </c>
      <c r="C36" s="329">
        <v>46134</v>
      </c>
      <c r="D36" s="151" t="s">
        <v>277</v>
      </c>
      <c r="E36" s="218"/>
      <c r="F36" s="166" t="s">
        <v>335</v>
      </c>
      <c r="G36" s="134"/>
      <c r="H36" s="134"/>
      <c r="I36" s="134"/>
      <c r="J36" s="134"/>
      <c r="K36" s="134"/>
      <c r="L36" s="134"/>
      <c r="M36" s="134"/>
      <c r="N36" s="165"/>
      <c r="O36" s="165"/>
    </row>
    <row r="37" spans="1:15" ht="30" thickBot="1" x14ac:dyDescent="0.25">
      <c r="A37" s="299"/>
      <c r="B37" s="327"/>
      <c r="C37" s="330"/>
      <c r="D37" s="143" t="s">
        <v>26</v>
      </c>
      <c r="E37" s="214"/>
      <c r="F37" s="214"/>
      <c r="G37" s="135"/>
      <c r="H37" s="146" t="s">
        <v>350</v>
      </c>
      <c r="I37" s="135"/>
      <c r="J37" s="135"/>
      <c r="K37" s="135"/>
      <c r="L37" s="135"/>
      <c r="M37" s="135"/>
      <c r="N37" s="165"/>
      <c r="O37" s="165"/>
    </row>
    <row r="38" spans="1:15" ht="45" thickBot="1" x14ac:dyDescent="0.25">
      <c r="A38" s="299"/>
      <c r="B38" s="327"/>
      <c r="C38" s="331">
        <v>46136</v>
      </c>
      <c r="D38" s="151" t="s">
        <v>277</v>
      </c>
      <c r="E38" s="214"/>
      <c r="F38" s="214"/>
      <c r="G38" s="135"/>
      <c r="H38" s="135"/>
      <c r="I38" s="135"/>
      <c r="J38" s="117" t="s">
        <v>351</v>
      </c>
      <c r="K38" s="152"/>
      <c r="L38" s="135"/>
      <c r="M38" s="135"/>
      <c r="N38" s="165"/>
      <c r="O38" s="165"/>
    </row>
    <row r="39" spans="1:15" ht="30" thickBot="1" x14ac:dyDescent="0.25">
      <c r="A39" s="299"/>
      <c r="B39" s="327"/>
      <c r="C39" s="332"/>
      <c r="D39" s="143" t="s">
        <v>26</v>
      </c>
      <c r="E39" s="214"/>
      <c r="F39" s="214"/>
      <c r="G39" s="135"/>
      <c r="H39" s="135"/>
      <c r="I39" s="135"/>
      <c r="J39" s="135"/>
      <c r="K39" s="146" t="s">
        <v>352</v>
      </c>
      <c r="L39" s="135"/>
      <c r="M39" s="135"/>
      <c r="N39" s="165"/>
      <c r="O39" s="165"/>
    </row>
    <row r="40" spans="1:15" ht="59.25" thickBot="1" x14ac:dyDescent="0.25">
      <c r="A40" s="299"/>
      <c r="B40" s="327"/>
      <c r="C40" s="331">
        <v>46138</v>
      </c>
      <c r="D40" s="151" t="s">
        <v>277</v>
      </c>
      <c r="E40" s="214"/>
      <c r="F40" s="214"/>
      <c r="G40" s="135"/>
      <c r="H40" s="135"/>
      <c r="I40" s="135"/>
      <c r="J40" s="135"/>
      <c r="K40" s="135"/>
      <c r="L40" s="117" t="s">
        <v>351</v>
      </c>
      <c r="M40" s="219"/>
      <c r="N40" s="165"/>
      <c r="O40" s="165"/>
    </row>
    <row r="41" spans="1:15" ht="30" thickBot="1" x14ac:dyDescent="0.25">
      <c r="A41" s="299"/>
      <c r="B41" s="327"/>
      <c r="C41" s="333"/>
      <c r="D41" s="151" t="s">
        <v>277</v>
      </c>
      <c r="E41" s="214"/>
      <c r="F41" s="173" t="s">
        <v>268</v>
      </c>
      <c r="G41" s="135"/>
      <c r="H41" s="135"/>
      <c r="I41" s="135"/>
      <c r="J41" s="135"/>
      <c r="K41" s="135"/>
      <c r="L41" s="135"/>
      <c r="M41" s="135"/>
      <c r="N41" s="165"/>
      <c r="O41" s="165"/>
    </row>
    <row r="42" spans="1:15" ht="44.25" thickBot="1" x14ac:dyDescent="0.25">
      <c r="A42" s="299"/>
      <c r="B42" s="327"/>
      <c r="C42" s="333"/>
      <c r="D42" s="143" t="s">
        <v>26</v>
      </c>
      <c r="E42" s="214"/>
      <c r="F42" s="220" t="s">
        <v>353</v>
      </c>
      <c r="G42" s="135"/>
      <c r="H42" s="135"/>
      <c r="I42" s="135"/>
      <c r="J42" s="135"/>
      <c r="K42" s="135"/>
      <c r="L42" s="135"/>
      <c r="M42" s="135"/>
      <c r="N42" s="165"/>
      <c r="O42" s="165"/>
    </row>
    <row r="43" spans="1:15" ht="30.75" thickBot="1" x14ac:dyDescent="0.25">
      <c r="A43" s="300"/>
      <c r="B43" s="328"/>
      <c r="C43" s="211">
        <v>46141</v>
      </c>
      <c r="D43" s="221" t="s">
        <v>26</v>
      </c>
      <c r="E43" s="222"/>
      <c r="F43" s="222"/>
      <c r="G43" s="152"/>
      <c r="H43" s="152"/>
      <c r="I43" s="146" t="s">
        <v>269</v>
      </c>
      <c r="J43" s="152"/>
      <c r="K43" s="152"/>
      <c r="L43" s="152"/>
      <c r="M43" s="152"/>
      <c r="N43" s="165"/>
      <c r="O43" s="165"/>
    </row>
    <row r="44" spans="1:15" ht="44.25" thickBot="1" x14ac:dyDescent="0.25">
      <c r="A44" s="298" t="s">
        <v>354</v>
      </c>
      <c r="B44" s="326" t="s">
        <v>276</v>
      </c>
      <c r="C44" s="211">
        <v>46144</v>
      </c>
      <c r="D44" s="223" t="s">
        <v>277</v>
      </c>
      <c r="E44" s="218"/>
      <c r="F44" s="218"/>
      <c r="G44" s="134"/>
      <c r="H44" s="134"/>
      <c r="I44" s="111" t="s">
        <v>343</v>
      </c>
      <c r="J44" s="134"/>
      <c r="K44" s="134"/>
      <c r="L44" s="134"/>
      <c r="M44" s="134"/>
      <c r="N44" s="165"/>
      <c r="O44" s="165"/>
    </row>
    <row r="45" spans="1:15" ht="30" thickBot="1" x14ac:dyDescent="0.25">
      <c r="A45" s="299"/>
      <c r="B45" s="327"/>
      <c r="C45" s="334">
        <v>46148</v>
      </c>
      <c r="D45" s="223" t="s">
        <v>277</v>
      </c>
      <c r="E45" s="214"/>
      <c r="F45" s="173" t="s">
        <v>333</v>
      </c>
      <c r="G45" s="135"/>
      <c r="H45" s="135"/>
      <c r="I45" s="135"/>
      <c r="J45" s="135"/>
      <c r="K45" s="135"/>
      <c r="L45" s="135"/>
      <c r="M45" s="135"/>
      <c r="N45" s="165"/>
      <c r="O45" s="165"/>
    </row>
    <row r="46" spans="1:15" ht="44.25" thickBot="1" x14ac:dyDescent="0.25">
      <c r="A46" s="299"/>
      <c r="B46" s="327"/>
      <c r="C46" s="335"/>
      <c r="D46" s="223" t="s">
        <v>277</v>
      </c>
      <c r="E46" s="214"/>
      <c r="F46" s="173" t="s">
        <v>335</v>
      </c>
      <c r="G46" s="135"/>
      <c r="H46" s="135"/>
      <c r="I46" s="135"/>
      <c r="J46" s="135"/>
      <c r="K46" s="135"/>
      <c r="L46" s="135"/>
      <c r="M46" s="135"/>
      <c r="N46" s="165"/>
      <c r="O46" s="165"/>
    </row>
    <row r="47" spans="1:15" ht="30" thickBot="1" x14ac:dyDescent="0.25">
      <c r="A47" s="299"/>
      <c r="B47" s="327"/>
      <c r="C47" s="335"/>
      <c r="D47" s="223" t="s">
        <v>277</v>
      </c>
      <c r="E47" s="214"/>
      <c r="F47" s="173" t="s">
        <v>337</v>
      </c>
      <c r="G47" s="135"/>
      <c r="H47" s="135"/>
      <c r="I47" s="135"/>
      <c r="J47" s="135"/>
      <c r="K47" s="135"/>
      <c r="L47" s="135"/>
      <c r="M47" s="135"/>
      <c r="N47" s="165"/>
      <c r="O47" s="165"/>
    </row>
    <row r="48" spans="1:15" ht="30" thickBot="1" x14ac:dyDescent="0.25">
      <c r="A48" s="299"/>
      <c r="B48" s="327"/>
      <c r="C48" s="336"/>
      <c r="D48" s="223" t="s">
        <v>277</v>
      </c>
      <c r="E48" s="214"/>
      <c r="F48" s="214"/>
      <c r="G48" s="117" t="s">
        <v>341</v>
      </c>
      <c r="H48" s="135"/>
      <c r="I48" s="135"/>
      <c r="J48" s="135"/>
      <c r="K48" s="135"/>
      <c r="L48" s="135"/>
      <c r="M48" s="135"/>
      <c r="N48" s="165"/>
      <c r="O48" s="165"/>
    </row>
    <row r="49" spans="1:15" ht="30" thickBot="1" x14ac:dyDescent="0.25">
      <c r="A49" s="300"/>
      <c r="B49" s="328"/>
      <c r="C49" s="224">
        <v>46149</v>
      </c>
      <c r="D49" s="223" t="s">
        <v>277</v>
      </c>
      <c r="E49" s="225" t="s">
        <v>330</v>
      </c>
      <c r="F49" s="215"/>
      <c r="G49" s="136"/>
      <c r="H49" s="136"/>
      <c r="I49" s="136"/>
      <c r="J49" s="136"/>
      <c r="K49" s="136"/>
      <c r="L49" s="136"/>
      <c r="M49" s="136"/>
      <c r="N49" s="165"/>
      <c r="O49" s="165"/>
    </row>
    <row r="50" spans="1:15" ht="44.25" thickBot="1" x14ac:dyDescent="0.25">
      <c r="A50" s="337" t="s">
        <v>355</v>
      </c>
      <c r="B50" s="340" t="s">
        <v>279</v>
      </c>
      <c r="C50" s="334">
        <v>46151</v>
      </c>
      <c r="D50" s="151" t="s">
        <v>277</v>
      </c>
      <c r="E50" s="226"/>
      <c r="F50" s="117" t="s">
        <v>339</v>
      </c>
      <c r="G50" s="226"/>
      <c r="H50" s="226"/>
      <c r="I50" s="226"/>
      <c r="J50" s="226"/>
      <c r="K50" s="226"/>
      <c r="L50" s="226"/>
      <c r="M50" s="227"/>
      <c r="N50" s="165"/>
      <c r="O50" s="165"/>
    </row>
    <row r="51" spans="1:15" ht="30" thickBot="1" x14ac:dyDescent="0.25">
      <c r="A51" s="338"/>
      <c r="B51" s="341"/>
      <c r="C51" s="336"/>
      <c r="D51" s="221" t="s">
        <v>26</v>
      </c>
      <c r="E51" s="226"/>
      <c r="F51" s="226"/>
      <c r="G51" s="226"/>
      <c r="H51" s="226"/>
      <c r="I51" s="226"/>
      <c r="J51" s="226"/>
      <c r="K51" s="226"/>
      <c r="L51" s="146" t="s">
        <v>336</v>
      </c>
      <c r="M51" s="219"/>
      <c r="N51" s="165"/>
      <c r="O51" s="165"/>
    </row>
    <row r="52" spans="1:15" ht="30.75" thickBot="1" x14ac:dyDescent="0.25">
      <c r="A52" s="339"/>
      <c r="B52" s="342"/>
      <c r="C52" s="224">
        <v>46156</v>
      </c>
      <c r="D52" s="221" t="s">
        <v>26</v>
      </c>
      <c r="E52" s="228"/>
      <c r="F52" s="228"/>
      <c r="G52" s="228"/>
      <c r="H52" s="228"/>
      <c r="I52" s="126" t="s">
        <v>332</v>
      </c>
      <c r="J52" s="228"/>
      <c r="K52" s="228"/>
      <c r="L52" s="228"/>
      <c r="M52" s="229"/>
      <c r="N52" s="165"/>
      <c r="O52" s="165"/>
    </row>
    <row r="53" spans="1:15" ht="30" thickBot="1" x14ac:dyDescent="0.25">
      <c r="A53" s="337" t="s">
        <v>356</v>
      </c>
      <c r="B53" s="343" t="s">
        <v>281</v>
      </c>
      <c r="C53" s="334">
        <v>46158</v>
      </c>
      <c r="D53" s="151" t="s">
        <v>277</v>
      </c>
      <c r="E53" s="230"/>
      <c r="F53" s="230"/>
      <c r="G53" s="111" t="s">
        <v>342</v>
      </c>
      <c r="H53" s="230"/>
      <c r="I53" s="230"/>
      <c r="J53" s="230"/>
      <c r="K53" s="230"/>
      <c r="L53" s="230"/>
      <c r="M53" s="231"/>
      <c r="N53" s="165"/>
      <c r="O53" s="165"/>
    </row>
    <row r="54" spans="1:15" ht="30" thickBot="1" x14ac:dyDescent="0.25">
      <c r="A54" s="338"/>
      <c r="B54" s="344"/>
      <c r="C54" s="336"/>
      <c r="D54" s="151" t="s">
        <v>277</v>
      </c>
      <c r="E54" s="226"/>
      <c r="F54" s="117" t="s">
        <v>340</v>
      </c>
      <c r="G54" s="226"/>
      <c r="H54" s="226"/>
      <c r="I54" s="226"/>
      <c r="J54" s="226"/>
      <c r="K54" s="226"/>
      <c r="L54" s="226"/>
      <c r="M54" s="227"/>
      <c r="N54" s="165"/>
      <c r="O54" s="165"/>
    </row>
    <row r="55" spans="1:15" ht="30" thickBot="1" x14ac:dyDescent="0.25">
      <c r="A55" s="339"/>
      <c r="B55" s="345"/>
      <c r="C55" s="224">
        <v>46162</v>
      </c>
      <c r="D55" s="221" t="s">
        <v>26</v>
      </c>
      <c r="E55" s="228"/>
      <c r="F55" s="228"/>
      <c r="G55" s="228"/>
      <c r="H55" s="228"/>
      <c r="I55" s="228"/>
      <c r="J55" s="228"/>
      <c r="K55" s="228"/>
      <c r="L55" s="228"/>
      <c r="M55" s="126" t="s">
        <v>338</v>
      </c>
      <c r="N55" s="165"/>
      <c r="O55" s="165"/>
    </row>
    <row r="56" spans="1:15" ht="30" thickBot="1" x14ac:dyDescent="0.25">
      <c r="A56" s="232" t="s">
        <v>357</v>
      </c>
      <c r="B56" s="233" t="s">
        <v>358</v>
      </c>
      <c r="C56" s="224">
        <v>46167</v>
      </c>
      <c r="D56" s="122" t="s">
        <v>26</v>
      </c>
      <c r="E56" s="234"/>
      <c r="F56" s="234"/>
      <c r="G56" s="234"/>
      <c r="H56" s="234"/>
      <c r="I56" s="112" t="s">
        <v>334</v>
      </c>
      <c r="J56" s="234"/>
      <c r="K56" s="234"/>
      <c r="L56" s="234"/>
      <c r="M56" s="235"/>
      <c r="N56" s="165"/>
      <c r="O56" s="165"/>
    </row>
    <row r="57" spans="1:15" ht="15" x14ac:dyDescent="0.25">
      <c r="A57" s="164"/>
      <c r="B57" s="236"/>
      <c r="C57" s="165"/>
      <c r="D57" s="239"/>
      <c r="E57" s="164"/>
      <c r="F57" s="164"/>
      <c r="G57" s="164"/>
      <c r="H57" s="164"/>
      <c r="I57" s="164"/>
      <c r="J57" s="164"/>
      <c r="K57" s="164"/>
      <c r="L57" s="164"/>
      <c r="M57" s="165"/>
      <c r="N57" s="165"/>
      <c r="O57" s="165"/>
    </row>
    <row r="58" spans="1:15" ht="15" x14ac:dyDescent="0.25">
      <c r="A58" s="164"/>
      <c r="B58" s="164"/>
      <c r="C58" s="165"/>
      <c r="D58" s="238"/>
      <c r="E58" s="164"/>
      <c r="F58" s="164"/>
      <c r="G58" s="164"/>
      <c r="H58" s="164"/>
      <c r="I58" s="164"/>
      <c r="J58" s="164"/>
      <c r="K58" s="164"/>
      <c r="L58" s="164"/>
      <c r="M58" s="165"/>
      <c r="N58" s="165"/>
      <c r="O58" s="165"/>
    </row>
    <row r="59" spans="1:15" x14ac:dyDescent="0.2">
      <c r="A59" s="164"/>
      <c r="B59" s="164"/>
      <c r="C59" s="165"/>
      <c r="D59" s="237"/>
      <c r="E59" s="164"/>
      <c r="F59" s="164"/>
      <c r="G59" s="164"/>
      <c r="H59" s="164"/>
      <c r="I59" s="164"/>
      <c r="J59" s="164"/>
      <c r="K59" s="164"/>
      <c r="L59" s="164"/>
      <c r="M59" s="165"/>
      <c r="N59" s="165"/>
      <c r="O59" s="165"/>
    </row>
    <row r="60" spans="1:15" x14ac:dyDescent="0.2">
      <c r="A60" s="164"/>
      <c r="B60" s="164"/>
      <c r="C60" s="165"/>
      <c r="D60" s="164"/>
      <c r="E60" s="164"/>
      <c r="F60" s="164"/>
      <c r="G60" s="164"/>
      <c r="H60" s="164"/>
      <c r="I60" s="164"/>
      <c r="J60" s="164"/>
      <c r="K60" s="164"/>
      <c r="L60" s="164"/>
      <c r="M60" s="165"/>
      <c r="N60" s="165"/>
      <c r="O60" s="165"/>
    </row>
    <row r="61" spans="1:15" x14ac:dyDescent="0.2">
      <c r="A61" s="164"/>
      <c r="B61" s="164"/>
      <c r="C61" s="165"/>
      <c r="D61" s="164"/>
      <c r="E61" s="164"/>
      <c r="F61" s="164"/>
      <c r="G61" s="164"/>
      <c r="H61" s="164"/>
      <c r="I61" s="164"/>
      <c r="J61" s="164"/>
      <c r="K61" s="164"/>
      <c r="L61" s="164"/>
      <c r="M61" s="165"/>
      <c r="N61" s="165"/>
      <c r="O61" s="165"/>
    </row>
    <row r="62" spans="1:15" x14ac:dyDescent="0.2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5"/>
      <c r="N62" s="165"/>
      <c r="O62" s="165"/>
    </row>
    <row r="63" spans="1:15" x14ac:dyDescent="0.2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5"/>
      <c r="N63" s="165"/>
      <c r="O63" s="165"/>
    </row>
    <row r="64" spans="1:15" x14ac:dyDescent="0.2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5"/>
      <c r="N64" s="165"/>
      <c r="O64" s="165"/>
    </row>
    <row r="65" spans="1:15" x14ac:dyDescent="0.2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5"/>
      <c r="N65" s="165"/>
      <c r="O65" s="165"/>
    </row>
    <row r="66" spans="1:15" x14ac:dyDescent="0.2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5"/>
      <c r="N66" s="165"/>
      <c r="O66" s="165"/>
    </row>
    <row r="67" spans="1:15" x14ac:dyDescent="0.2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5"/>
      <c r="N67" s="165"/>
      <c r="O67" s="165"/>
    </row>
    <row r="68" spans="1:15" x14ac:dyDescent="0.2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5"/>
      <c r="N68" s="165"/>
      <c r="O68" s="165"/>
    </row>
    <row r="69" spans="1:15" x14ac:dyDescent="0.2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5"/>
      <c r="N69" s="165"/>
      <c r="O69" s="165"/>
    </row>
    <row r="70" spans="1:15" x14ac:dyDescent="0.2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5"/>
      <c r="N70" s="165"/>
      <c r="O70" s="165"/>
    </row>
    <row r="71" spans="1:15" x14ac:dyDescent="0.2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5"/>
      <c r="N71" s="165"/>
      <c r="O71" s="165"/>
    </row>
    <row r="72" spans="1:15" x14ac:dyDescent="0.2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5"/>
      <c r="N72" s="165"/>
      <c r="O72" s="165"/>
    </row>
    <row r="73" spans="1:15" x14ac:dyDescent="0.2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5"/>
      <c r="N73" s="165"/>
      <c r="O73" s="165"/>
    </row>
    <row r="74" spans="1:15" x14ac:dyDescent="0.2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5"/>
      <c r="N74" s="165"/>
      <c r="O74" s="165"/>
    </row>
    <row r="75" spans="1:15" x14ac:dyDescent="0.2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5"/>
      <c r="N75" s="165"/>
      <c r="O75" s="165"/>
    </row>
    <row r="76" spans="1:15" x14ac:dyDescent="0.2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5"/>
      <c r="N76" s="165"/>
      <c r="O76" s="165"/>
    </row>
    <row r="77" spans="1:15" x14ac:dyDescent="0.2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5"/>
      <c r="N77" s="165"/>
      <c r="O77" s="165"/>
    </row>
    <row r="78" spans="1:15" x14ac:dyDescent="0.2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5"/>
      <c r="N78" s="165"/>
      <c r="O78" s="165"/>
    </row>
    <row r="79" spans="1:15" x14ac:dyDescent="0.2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5"/>
      <c r="N79" s="165"/>
      <c r="O79" s="165"/>
    </row>
    <row r="80" spans="1:15" x14ac:dyDescent="0.2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5"/>
      <c r="N80" s="165"/>
      <c r="O80" s="165"/>
    </row>
    <row r="81" spans="1:15" x14ac:dyDescent="0.2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5"/>
      <c r="N81" s="165"/>
      <c r="O81" s="165"/>
    </row>
    <row r="82" spans="1:15" x14ac:dyDescent="0.2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5"/>
      <c r="N82" s="165"/>
      <c r="O82" s="165"/>
    </row>
  </sheetData>
  <mergeCells count="36">
    <mergeCell ref="A50:A52"/>
    <mergeCell ref="B50:B52"/>
    <mergeCell ref="C50:C51"/>
    <mergeCell ref="A53:A55"/>
    <mergeCell ref="B53:B55"/>
    <mergeCell ref="C53:C54"/>
    <mergeCell ref="B36:B43"/>
    <mergeCell ref="C36:C37"/>
    <mergeCell ref="C38:C39"/>
    <mergeCell ref="C40:C42"/>
    <mergeCell ref="A44:A49"/>
    <mergeCell ref="B44:B49"/>
    <mergeCell ref="C45:C48"/>
    <mergeCell ref="A36:A43"/>
    <mergeCell ref="A2:A10"/>
    <mergeCell ref="B2:B4"/>
    <mergeCell ref="D2:D10"/>
    <mergeCell ref="H2:H10"/>
    <mergeCell ref="M2:M4"/>
    <mergeCell ref="B5:B6"/>
    <mergeCell ref="M5:M6"/>
    <mergeCell ref="H11:H19"/>
    <mergeCell ref="A13:A21"/>
    <mergeCell ref="D13:D16"/>
    <mergeCell ref="E13:E14"/>
    <mergeCell ref="B14:B18"/>
    <mergeCell ref="B19:B20"/>
    <mergeCell ref="C26:C27"/>
    <mergeCell ref="C31:C32"/>
    <mergeCell ref="C33:C34"/>
    <mergeCell ref="A24:M24"/>
    <mergeCell ref="A25:C25"/>
    <mergeCell ref="A26:A28"/>
    <mergeCell ref="B26:B28"/>
    <mergeCell ref="A29:A34"/>
    <mergeCell ref="B29:B34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1000"/>
  <sheetViews>
    <sheetView workbookViewId="0">
      <selection sqref="A1:F1"/>
    </sheetView>
  </sheetViews>
  <sheetFormatPr baseColWidth="10" defaultColWidth="12.625" defaultRowHeight="15" customHeight="1" x14ac:dyDescent="0.2"/>
  <cols>
    <col min="1" max="1" width="24.875" customWidth="1"/>
    <col min="2" max="2" width="29" customWidth="1"/>
    <col min="3" max="4" width="20" customWidth="1"/>
    <col min="5" max="5" width="16.625" customWidth="1"/>
    <col min="6" max="6" width="15" customWidth="1"/>
    <col min="7" max="11" width="8.875" customWidth="1"/>
    <col min="12" max="26" width="14.375" customWidth="1"/>
  </cols>
  <sheetData>
    <row r="1" spans="1:6" ht="18.75" x14ac:dyDescent="0.3">
      <c r="A1" s="357" t="s">
        <v>172</v>
      </c>
      <c r="B1" s="286"/>
      <c r="C1" s="286"/>
      <c r="D1" s="286"/>
      <c r="E1" s="286"/>
      <c r="F1" s="286"/>
    </row>
    <row r="2" spans="1:6" ht="17.25" x14ac:dyDescent="0.3">
      <c r="A2" s="358" t="s">
        <v>173</v>
      </c>
      <c r="B2" s="286"/>
      <c r="C2" s="286"/>
      <c r="D2" s="286"/>
      <c r="E2" s="286"/>
      <c r="F2" s="286"/>
    </row>
    <row r="4" spans="1:6" x14ac:dyDescent="0.25">
      <c r="A4" s="349" t="s">
        <v>174</v>
      </c>
      <c r="B4" s="350"/>
      <c r="C4" s="350"/>
      <c r="D4" s="350"/>
      <c r="E4" s="350"/>
      <c r="F4" s="351"/>
    </row>
    <row r="5" spans="1:6" ht="19.5" customHeight="1" x14ac:dyDescent="0.25">
      <c r="A5" s="7" t="s">
        <v>175</v>
      </c>
      <c r="B5" s="359"/>
      <c r="C5" s="360"/>
      <c r="D5" s="8" t="s">
        <v>176</v>
      </c>
      <c r="E5" s="359"/>
      <c r="F5" s="360"/>
    </row>
    <row r="6" spans="1:6" ht="19.5" customHeight="1" x14ac:dyDescent="0.25">
      <c r="A6" s="7" t="s">
        <v>177</v>
      </c>
      <c r="B6" s="352"/>
      <c r="C6" s="350"/>
      <c r="D6" s="350"/>
      <c r="E6" s="350"/>
      <c r="F6" s="351"/>
    </row>
    <row r="7" spans="1:6" ht="19.5" customHeight="1" x14ac:dyDescent="0.25">
      <c r="A7" s="7" t="s">
        <v>178</v>
      </c>
      <c r="B7" s="352"/>
      <c r="C7" s="350"/>
      <c r="D7" s="350"/>
      <c r="E7" s="350"/>
      <c r="F7" s="351"/>
    </row>
    <row r="8" spans="1:6" x14ac:dyDescent="0.25">
      <c r="A8" s="9"/>
      <c r="B8" s="2"/>
      <c r="C8" s="2"/>
      <c r="D8" s="2"/>
      <c r="E8" s="2"/>
      <c r="F8" s="10"/>
    </row>
    <row r="9" spans="1:6" x14ac:dyDescent="0.25">
      <c r="A9" s="349" t="s">
        <v>179</v>
      </c>
      <c r="B9" s="350"/>
      <c r="C9" s="350"/>
      <c r="D9" s="350"/>
      <c r="E9" s="350"/>
      <c r="F9" s="351"/>
    </row>
    <row r="10" spans="1:6" ht="19.5" customHeight="1" x14ac:dyDescent="0.25">
      <c r="A10" s="7" t="s">
        <v>180</v>
      </c>
      <c r="B10" s="352"/>
      <c r="C10" s="350"/>
      <c r="D10" s="350"/>
      <c r="E10" s="350"/>
      <c r="F10" s="351"/>
    </row>
    <row r="11" spans="1:6" ht="19.5" customHeight="1" x14ac:dyDescent="0.25">
      <c r="A11" s="7" t="s">
        <v>181</v>
      </c>
      <c r="B11" s="352"/>
      <c r="C11" s="350"/>
      <c r="D11" s="350"/>
      <c r="E11" s="350"/>
      <c r="F11" s="351"/>
    </row>
    <row r="12" spans="1:6" ht="19.5" customHeight="1" x14ac:dyDescent="0.25">
      <c r="A12" s="7" t="s">
        <v>182</v>
      </c>
      <c r="B12" s="11"/>
      <c r="C12" s="8" t="s">
        <v>183</v>
      </c>
      <c r="D12" s="12"/>
      <c r="E12" s="8" t="s">
        <v>184</v>
      </c>
      <c r="F12" s="13"/>
    </row>
    <row r="13" spans="1:6" ht="19.5" customHeight="1" x14ac:dyDescent="0.25">
      <c r="A13" s="7" t="s">
        <v>185</v>
      </c>
      <c r="B13" s="349"/>
      <c r="C13" s="350"/>
      <c r="D13" s="350"/>
      <c r="E13" s="350"/>
      <c r="F13" s="351"/>
    </row>
    <row r="14" spans="1:6" ht="19.5" customHeight="1" x14ac:dyDescent="0.25">
      <c r="A14" s="7" t="s">
        <v>186</v>
      </c>
      <c r="B14" s="14"/>
      <c r="C14" s="8" t="s">
        <v>187</v>
      </c>
      <c r="D14" s="15"/>
      <c r="E14" s="14"/>
      <c r="F14" s="16"/>
    </row>
    <row r="15" spans="1:6" ht="19.5" customHeight="1" x14ac:dyDescent="0.25">
      <c r="A15" s="7" t="s">
        <v>188</v>
      </c>
      <c r="B15" s="353"/>
      <c r="C15" s="351"/>
      <c r="D15" s="8" t="s">
        <v>189</v>
      </c>
      <c r="E15" s="17"/>
      <c r="F15" s="16"/>
    </row>
    <row r="16" spans="1:6" x14ac:dyDescent="0.25">
      <c r="A16" s="9"/>
      <c r="B16" s="2"/>
      <c r="C16" s="2"/>
      <c r="D16" s="2"/>
      <c r="E16" s="2"/>
      <c r="F16" s="10"/>
    </row>
    <row r="17" spans="1:11" x14ac:dyDescent="0.25">
      <c r="A17" s="349" t="s">
        <v>190</v>
      </c>
      <c r="B17" s="350"/>
      <c r="C17" s="350"/>
      <c r="D17" s="350"/>
      <c r="E17" s="350"/>
      <c r="F17" s="351"/>
    </row>
    <row r="18" spans="1:11" ht="21.75" customHeight="1" x14ac:dyDescent="0.25">
      <c r="A18" s="354"/>
      <c r="B18" s="355"/>
      <c r="C18" s="355"/>
      <c r="D18" s="355"/>
      <c r="E18" s="355"/>
      <c r="F18" s="356"/>
    </row>
    <row r="19" spans="1:11" ht="21.75" customHeight="1" x14ac:dyDescent="0.25">
      <c r="A19" s="346"/>
      <c r="B19" s="347"/>
      <c r="C19" s="347"/>
      <c r="D19" s="347"/>
      <c r="E19" s="347"/>
      <c r="F19" s="348"/>
    </row>
    <row r="20" spans="1:11" ht="21.75" customHeight="1" x14ac:dyDescent="0.25">
      <c r="A20" s="346"/>
      <c r="B20" s="347"/>
      <c r="C20" s="347"/>
      <c r="D20" s="347"/>
      <c r="E20" s="347"/>
      <c r="F20" s="348"/>
    </row>
    <row r="21" spans="1:11" ht="21.75" customHeight="1" x14ac:dyDescent="0.25">
      <c r="A21" s="346"/>
      <c r="B21" s="347"/>
      <c r="C21" s="347"/>
      <c r="D21" s="347"/>
      <c r="E21" s="347"/>
      <c r="F21" s="348"/>
    </row>
    <row r="22" spans="1:11" ht="21.75" customHeight="1" x14ac:dyDescent="0.25">
      <c r="A22" s="346"/>
      <c r="B22" s="347"/>
      <c r="C22" s="347"/>
      <c r="D22" s="347"/>
      <c r="E22" s="347"/>
      <c r="F22" s="348"/>
    </row>
    <row r="23" spans="1:11" ht="21.75" customHeight="1" x14ac:dyDescent="0.25">
      <c r="A23" s="346"/>
      <c r="B23" s="347"/>
      <c r="C23" s="347"/>
      <c r="D23" s="347"/>
      <c r="E23" s="347"/>
      <c r="F23" s="348"/>
    </row>
    <row r="24" spans="1:11" ht="21.75" customHeight="1" x14ac:dyDescent="0.25">
      <c r="A24" s="346"/>
      <c r="B24" s="347"/>
      <c r="C24" s="347"/>
      <c r="D24" s="347"/>
      <c r="E24" s="347"/>
      <c r="F24" s="348"/>
    </row>
    <row r="25" spans="1:11" ht="15.75" customHeight="1" x14ac:dyDescent="0.25">
      <c r="A25" s="9"/>
      <c r="B25" s="2"/>
      <c r="C25" s="2"/>
      <c r="D25" s="2"/>
      <c r="E25" s="2"/>
      <c r="F25" s="10"/>
    </row>
    <row r="26" spans="1:11" ht="15.75" customHeight="1" x14ac:dyDescent="0.25">
      <c r="A26" s="349" t="s">
        <v>191</v>
      </c>
      <c r="B26" s="350"/>
      <c r="C26" s="350"/>
      <c r="D26" s="350"/>
      <c r="E26" s="350"/>
      <c r="F26" s="351"/>
    </row>
    <row r="27" spans="1:11" ht="15.75" customHeight="1" x14ac:dyDescent="0.25">
      <c r="A27" s="18" t="s">
        <v>192</v>
      </c>
      <c r="B27" s="5" t="s">
        <v>193</v>
      </c>
      <c r="C27" s="5" t="s">
        <v>194</v>
      </c>
      <c r="D27" s="5" t="s">
        <v>195</v>
      </c>
      <c r="E27" s="5" t="s">
        <v>196</v>
      </c>
      <c r="F27" s="19"/>
      <c r="G27" s="4"/>
      <c r="H27" s="4"/>
      <c r="I27" s="4"/>
      <c r="J27" s="4"/>
      <c r="K27" s="4"/>
    </row>
    <row r="28" spans="1:11" ht="21.75" customHeight="1" x14ac:dyDescent="0.25">
      <c r="A28" s="20"/>
      <c r="B28" s="6"/>
      <c r="C28" s="6"/>
      <c r="D28" s="6"/>
      <c r="E28" s="6"/>
      <c r="F28" s="21"/>
      <c r="G28" s="4"/>
      <c r="H28" s="4"/>
      <c r="I28" s="4"/>
      <c r="J28" s="4"/>
      <c r="K28" s="4"/>
    </row>
    <row r="29" spans="1:11" ht="21.75" customHeight="1" x14ac:dyDescent="0.25">
      <c r="A29" s="20"/>
      <c r="B29" s="6"/>
      <c r="C29" s="6"/>
      <c r="D29" s="6"/>
      <c r="E29" s="6"/>
      <c r="F29" s="21"/>
      <c r="G29" s="4"/>
      <c r="H29" s="4"/>
      <c r="I29" s="4"/>
      <c r="J29" s="4"/>
      <c r="K29" s="4"/>
    </row>
    <row r="30" spans="1:11" ht="21.75" customHeight="1" x14ac:dyDescent="0.25">
      <c r="A30" s="20"/>
      <c r="B30" s="6"/>
      <c r="C30" s="6"/>
      <c r="D30" s="6"/>
      <c r="E30" s="6"/>
      <c r="F30" s="21"/>
      <c r="G30" s="4"/>
      <c r="H30" s="4"/>
      <c r="I30" s="4"/>
      <c r="J30" s="4"/>
      <c r="K30" s="4"/>
    </row>
    <row r="31" spans="1:11" ht="21.75" customHeight="1" x14ac:dyDescent="0.25">
      <c r="A31" s="20"/>
      <c r="B31" s="6"/>
      <c r="C31" s="6"/>
      <c r="D31" s="6"/>
      <c r="E31" s="6"/>
      <c r="F31" s="21"/>
      <c r="G31" s="4"/>
      <c r="H31" s="4"/>
      <c r="I31" s="4"/>
      <c r="J31" s="4"/>
      <c r="K31" s="4"/>
    </row>
    <row r="32" spans="1:11" ht="21.75" customHeight="1" x14ac:dyDescent="0.25">
      <c r="A32" s="22"/>
      <c r="B32" s="23"/>
      <c r="C32" s="23"/>
      <c r="D32" s="23"/>
      <c r="E32" s="23"/>
      <c r="F32" s="24"/>
    </row>
    <row r="33" spans="1:6" ht="21.75" customHeight="1" x14ac:dyDescent="0.25">
      <c r="A33" s="22"/>
      <c r="B33" s="23"/>
      <c r="C33" s="23"/>
      <c r="D33" s="23"/>
      <c r="E33" s="23"/>
      <c r="F33" s="24"/>
    </row>
    <row r="34" spans="1:6" ht="21.75" customHeight="1" x14ac:dyDescent="0.25">
      <c r="A34" s="22"/>
      <c r="B34" s="23"/>
      <c r="C34" s="23"/>
      <c r="D34" s="23"/>
      <c r="E34" s="23"/>
      <c r="F34" s="24"/>
    </row>
    <row r="35" spans="1:6" ht="21.75" customHeight="1" x14ac:dyDescent="0.25">
      <c r="A35" s="22"/>
      <c r="B35" s="23"/>
      <c r="C35" s="23"/>
      <c r="D35" s="23"/>
      <c r="E35" s="23"/>
      <c r="F35" s="24"/>
    </row>
    <row r="36" spans="1:6" ht="18" customHeight="1" x14ac:dyDescent="0.25">
      <c r="A36" s="25"/>
      <c r="B36" s="26"/>
      <c r="C36" s="26"/>
      <c r="D36" s="26"/>
      <c r="E36" s="26"/>
      <c r="F36" s="27"/>
    </row>
    <row r="37" spans="1:6" ht="24" customHeight="1" x14ac:dyDescent="0.25">
      <c r="B37" s="14"/>
      <c r="C37" s="14"/>
      <c r="D37" s="14"/>
      <c r="E37" s="14" t="s">
        <v>197</v>
      </c>
      <c r="F37" s="28">
        <f>F28+F29+F30+F31+F32+F33+F34+F35+F36</f>
        <v>0</v>
      </c>
    </row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A1:F1"/>
    <mergeCell ref="A2:F2"/>
    <mergeCell ref="A4:F4"/>
    <mergeCell ref="B5:C5"/>
    <mergeCell ref="E5:F5"/>
    <mergeCell ref="B6:F6"/>
    <mergeCell ref="B7:F7"/>
    <mergeCell ref="A19:F19"/>
    <mergeCell ref="A20:F20"/>
    <mergeCell ref="A21:F21"/>
    <mergeCell ref="A22:F22"/>
    <mergeCell ref="A23:F23"/>
    <mergeCell ref="A24:F24"/>
    <mergeCell ref="A26:F26"/>
    <mergeCell ref="A9:F9"/>
    <mergeCell ref="B10:F10"/>
    <mergeCell ref="B11:F11"/>
    <mergeCell ref="B13:F13"/>
    <mergeCell ref="B15:C15"/>
    <mergeCell ref="A17:F17"/>
    <mergeCell ref="A18:F18"/>
  </mergeCells>
  <pageMargins left="0.19685039370078741" right="0" top="0.39370078740157483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INCIDENCIAS</vt:lpstr>
      <vt:lpstr>tabla</vt:lpstr>
      <vt:lpstr>Lista</vt:lpstr>
      <vt:lpstr>TRÁFICO DE CLIENTES</vt:lpstr>
      <vt:lpstr>ROBOS - FRUSTADOS</vt:lpstr>
      <vt:lpstr>ACTA DETENCIÓN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2026-07-20T22:49:17Z</dcterms:modified>
</cp:coreProperties>
</file>